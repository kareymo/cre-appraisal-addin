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2.xml" ContentType="application/vnd.openxmlformats-officedocument.drawing+xml"/>
  <Override PartName="/xl/worksheets/sheet15.xml" ContentType="application/vnd.openxmlformats-officedocument.spreadsheetml.worksheet+xml"/>
  <Override PartName="/xl/drawings/drawing3.xml" ContentType="application/vnd.openxmlformats-officedocument.drawing+xml"/>
  <Override PartName="/xl/worksheets/sheet16.xml" ContentType="application/vnd.openxmlformats-officedocument.spreadsheetml.worksheet+xml"/>
  <Override PartName="/xl/drawings/drawing4.xml" ContentType="application/vnd.openxmlformats-officedocument.drawing+xml"/>
  <Override PartName="/xl/worksheets/sheet17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6000" windowWidth="29040" windowHeight="15720" tabRatio="600" firstSheet="0" activeTab="0" autoFilterDateGrouping="1"/>
  </bookViews>
  <sheets>
    <sheet xmlns:r="http://schemas.openxmlformats.org/officeDocument/2006/relationships" name="Imprvd Sales" sheetId="1" state="visible" r:id="rId1"/>
    <sheet xmlns:r="http://schemas.openxmlformats.org/officeDocument/2006/relationships" name="Imprvd Sales (2)" sheetId="2" state="visible" r:id="rId2"/>
    <sheet xmlns:r="http://schemas.openxmlformats.org/officeDocument/2006/relationships" name="LeaseComps" sheetId="3" state="visible" r:id="rId3"/>
    <sheet xmlns:r="http://schemas.openxmlformats.org/officeDocument/2006/relationships" name="Income Approach" sheetId="4" state="visible" r:id="rId4"/>
    <sheet xmlns:r="http://schemas.openxmlformats.org/officeDocument/2006/relationships" name="RECON" sheetId="5" state="visible" r:id="rId5"/>
    <sheet xmlns:r="http://schemas.openxmlformats.org/officeDocument/2006/relationships" name="OAR Rate Methods" sheetId="6" state="visible" r:id="rId6"/>
    <sheet xmlns:r="http://schemas.openxmlformats.org/officeDocument/2006/relationships" name="ACT List" sheetId="7" state="visible" r:id="rId7"/>
    <sheet xmlns:r="http://schemas.openxmlformats.org/officeDocument/2006/relationships" name="Mtg Eqty" sheetId="8" state="visible" r:id="rId8"/>
    <sheet xmlns:r="http://schemas.openxmlformats.org/officeDocument/2006/relationships" name="DSCR" sheetId="9" state="visible" r:id="rId9"/>
    <sheet xmlns:r="http://schemas.openxmlformats.org/officeDocument/2006/relationships" name="Land AS IS (sf)" sheetId="10" state="visible" r:id="rId10"/>
    <sheet xmlns:r="http://schemas.openxmlformats.org/officeDocument/2006/relationships" name="Land Sales (2)" sheetId="11" state="visible" r:id="rId11"/>
    <sheet xmlns:r="http://schemas.openxmlformats.org/officeDocument/2006/relationships" name="RE Tax" sheetId="12" state="visible" r:id="rId12"/>
    <sheet xmlns:r="http://schemas.openxmlformats.org/officeDocument/2006/relationships" name="Location" sheetId="13" state="visible" r:id="rId13"/>
    <sheet xmlns:r="http://schemas.openxmlformats.org/officeDocument/2006/relationships" name="Rglemp" sheetId="14" state="visible" r:id="rId14"/>
    <sheet xmlns:r="http://schemas.openxmlformats.org/officeDocument/2006/relationships" name="Submarket Absorption" sheetId="15" state="visible" r:id="rId15"/>
    <sheet xmlns:r="http://schemas.openxmlformats.org/officeDocument/2006/relationships" name="EBI" sheetId="16" state="visible" r:id="rId16"/>
    <sheet xmlns:r="http://schemas.openxmlformats.org/officeDocument/2006/relationships" name="IN MSA" sheetId="17" state="visible" r:id="rId17"/>
  </sheets>
  <externalReferences>
    <externalReference xmlns:r="http://schemas.openxmlformats.org/officeDocument/2006/relationships" r:id="rId18"/>
    <externalReference xmlns:r="http://schemas.openxmlformats.org/officeDocument/2006/relationships" r:id="rId19"/>
  </externalReferences>
  <definedNames>
    <definedName name="__123Graph_A" hidden="1">[2]GRPH!$A$3:$X$3</definedName>
    <definedName name="__123Graph_X" hidden="1">[2]GRPH!$A$2:$X$2</definedName>
    <definedName name="BEGDATE">#REF!</definedName>
    <definedName name="LOTPRICE">#REF!</definedName>
    <definedName name="Print_Area_MI">#REF!</definedName>
    <definedName name="wrn.Richards." hidden="1">{#N/A,#N/A,FALSE,"Emplmt";#N/A,#N/A,FALSE,"Rglemp";#N/A,#N/A,FALSE,"EBI";#N/A,#N/A,FALSE,"HAI";#N/A,#N/A,FALSE,"pmtsgrph";#N/A,#N/A,FALSE,"GRPH"}</definedName>
    <definedName name="wrn.Treybourne._.3." hidden="1">{#N/A,#N/A,FALSE,"FV est";#N/A,#N/A,FALSE,"Cost Sum";#N/A,#N/A,FALSE,"Sales Sum";#N/A,#N/A,FALSE,"Income Sum";#N/A,#N/A,FALSE,"Lnd Sal";#N/A,#N/A,FALSE,"Sales 1";#N/A,#N/A,FALSE,"Lease 1";#N/A,#N/A,FALSE,"Lease 2";#N/A,#N/A,FALSE,"Mtg Eqty";#N/A,#N/A,FALSE,"Income 1";#N/A,#N/A,FALSE,"Reconcl"}</definedName>
    <definedName name="__123Graph_A" localSheetId="0" hidden="1">[1]GRPH!$A$3:$X$3</definedName>
    <definedName name="__123Graph_X" localSheetId="0" hidden="1">[1]GRPH!$A$2:$X$2</definedName>
    <definedName name="BEGDATE" localSheetId="0">#REF!</definedName>
    <definedName name="LOTPRICE" localSheetId="0">#REF!</definedName>
    <definedName name="wrn.Richards." localSheetId="0" hidden="1">{#N/A,#N/A,FALSE,"Emplmt";#N/A,#N/A,FALSE,"Rglemp";#N/A,#N/A,FALSE,"EBI";#N/A,#N/A,FALSE,"HAI";#N/A,#N/A,FALSE,"pmtsgrph";#N/A,#N/A,FALSE,"GRPH"}</definedName>
    <definedName name="wrn.Treybourne._.3." localSheetId="0" hidden="1">{#N/A,#N/A,FALSE,"FV est";#N/A,#N/A,FALSE,"Cost Sum";#N/A,#N/A,FALSE,"Sales Sum";#N/A,#N/A,FALSE,"Income Sum";#N/A,#N/A,FALSE,"Lnd Sal";#N/A,#N/A,FALSE,"Sales 1";#N/A,#N/A,FALSE,"Lease 1";#N/A,#N/A,FALSE,"Lease 2";#N/A,#N/A,FALSE,"Mtg Eqty";#N/A,#N/A,FALSE,"Income 1";#N/A,#N/A,FALSE,"Reconcl"}</definedName>
    <definedName name="_xlnm.Print_Area" localSheetId="0">'Imprvd Sales'!$A$1:$K$56</definedName>
    <definedName name="BEGDATE" localSheetId="1">#REF!</definedName>
    <definedName name="LOTPRICE" localSheetId="1">#REF!</definedName>
    <definedName name="Print_Area_MI" localSheetId="1">#REF!</definedName>
    <definedName name="wrn.Richards." localSheetId="1" hidden="1">{#N/A,#N/A,FALSE,"Emplmt";#N/A,#N/A,FALSE,"Rglemp";#N/A,#N/A,FALSE,"EBI";#N/A,#N/A,FALSE,"HAI";#N/A,#N/A,FALSE,"pmtsgrph";#N/A,#N/A,FALSE,"GRPH"}</definedName>
    <definedName name="wrn.Treybourne._.3." localSheetId="1" hidden="1">{#N/A,#N/A,FALSE,"FV est";#N/A,#N/A,FALSE,"Cost Sum";#N/A,#N/A,FALSE,"Sales Sum";#N/A,#N/A,FALSE,"Income Sum";#N/A,#N/A,FALSE,"Lnd Sal";#N/A,#N/A,FALSE,"Sales 1";#N/A,#N/A,FALSE,"Lease 1";#N/A,#N/A,FALSE,"Lease 2";#N/A,#N/A,FALSE,"Mtg Eqty";#N/A,#N/A,FALSE,"Income 1";#N/A,#N/A,FALSE,"Reconcl"}</definedName>
    <definedName name="_xlnm.Print_Area" localSheetId="1">'Imprvd Sales (2)'!$B$1:$I$10</definedName>
    <definedName name="__123Graph_A" localSheetId="2" hidden="1">[1]GRPH!$A$3:$X$3</definedName>
    <definedName name="__123Graph_X" localSheetId="2" hidden="1">[1]GRPH!$A$2:$X$2</definedName>
    <definedName name="BEGDATE" localSheetId="2">#REF!</definedName>
    <definedName name="LOTPRICE" localSheetId="2">#REF!</definedName>
    <definedName name="wrn.Richards." localSheetId="2" hidden="1">{#N/A,#N/A,FALSE,"Emplmt";#N/A,#N/A,FALSE,"Rglemp";#N/A,#N/A,FALSE,"EBI";#N/A,#N/A,FALSE,"HAI";#N/A,#N/A,FALSE,"pmtsgrph";#N/A,#N/A,FALSE,"GRPH"}</definedName>
    <definedName name="wrn.Treybourne._.3." localSheetId="2" hidden="1">{#N/A,#N/A,FALSE,"FV est";#N/A,#N/A,FALSE,"Cost Sum";#N/A,#N/A,FALSE,"Sales Sum";#N/A,#N/A,FALSE,"Income Sum";#N/A,#N/A,FALSE,"Lnd Sal";#N/A,#N/A,FALSE,"Sales 1";#N/A,#N/A,FALSE,"Lease 1";#N/A,#N/A,FALSE,"Lease 2";#N/A,#N/A,FALSE,"Mtg Eqty";#N/A,#N/A,FALSE,"Income 1";#N/A,#N/A,FALSE,"Reconcl"}</definedName>
    <definedName name="_xlnm.Print_Area" localSheetId="2">'LeaseComps'!$A$1:$K$33</definedName>
    <definedName name="__123Graph_A" localSheetId="3" hidden="1">[1]GRPH!$A$3:$X$3</definedName>
    <definedName name="__123Graph_X" localSheetId="3" hidden="1">[1]GRPH!$A$2:$X$2</definedName>
    <definedName name="BEGDATE" localSheetId="3">#REF!</definedName>
    <definedName name="LOTPRICE" localSheetId="3">#REF!</definedName>
    <definedName name="wrn.Richards." localSheetId="3" hidden="1">{#N/A,#N/A,FALSE,"Emplmt";#N/A,#N/A,FALSE,"Rglemp";#N/A,#N/A,FALSE,"EBI";#N/A,#N/A,FALSE,"HAI";#N/A,#N/A,FALSE,"pmtsgrph";#N/A,#N/A,FALSE,"GRPH"}</definedName>
    <definedName name="wrn.Treybourne._.3." localSheetId="3" hidden="1">{#N/A,#N/A,FALSE,"FV est";#N/A,#N/A,FALSE,"Cost Sum";#N/A,#N/A,FALSE,"Sales Sum";#N/A,#N/A,FALSE,"Income Sum";#N/A,#N/A,FALSE,"Lnd Sal";#N/A,#N/A,FALSE,"Sales 1";#N/A,#N/A,FALSE,"Lease 1";#N/A,#N/A,FALSE,"Lease 2";#N/A,#N/A,FALSE,"Mtg Eqty";#N/A,#N/A,FALSE,"Income 1";#N/A,#N/A,FALSE,"Reconcl"}</definedName>
    <definedName name="_xlnm.Print_Area" localSheetId="3">'Income Approach'!$A$1:$G$34</definedName>
    <definedName name="__123Graph_A" localSheetId="5" hidden="1">[1]GRPH!$A$3:$X$3</definedName>
    <definedName name="__123Graph_X" localSheetId="5" hidden="1">[1]GRPH!$A$2:$X$2</definedName>
    <definedName name="BEGDATE" localSheetId="5">#REF!</definedName>
    <definedName name="LOTPRICE" localSheetId="5">#REF!</definedName>
    <definedName name="Print_Area_MI" localSheetId="5">#REF!</definedName>
    <definedName name="wrn.Richards." localSheetId="5" hidden="1">{#N/A,#N/A,FALSE,"Emplmt";#N/A,#N/A,FALSE,"Rglemp";#N/A,#N/A,FALSE,"EBI";#N/A,#N/A,FALSE,"HAI";#N/A,#N/A,FALSE,"pmtsgrph";#N/A,#N/A,FALSE,"GRPH"}</definedName>
    <definedName name="wrn.Treybourne._.3." localSheetId="5" hidden="1">{#N/A,#N/A,FALSE,"FV est";#N/A,#N/A,FALSE,"Cost Sum";#N/A,#N/A,FALSE,"Sales Sum";#N/A,#N/A,FALSE,"Income Sum";#N/A,#N/A,FALSE,"Lnd Sal";#N/A,#N/A,FALSE,"Sales 1";#N/A,#N/A,FALSE,"Lease 1";#N/A,#N/A,FALSE,"Lease 2";#N/A,#N/A,FALSE,"Mtg Eqty";#N/A,#N/A,FALSE,"Income 1";#N/A,#N/A,FALSE,"Reconcl"}</definedName>
    <definedName name="_xlnm.Print_Area" localSheetId="5">'OAR Rate Methods'!$A$1:$G$13</definedName>
    <definedName name="wrn.Richards." localSheetId="6" hidden="1">{#N/A,#N/A,FALSE,"Emplmt";#N/A,#N/A,FALSE,"Rglemp";#N/A,#N/A,FALSE,"EBI";#N/A,#N/A,FALSE,"HAI";#N/A,#N/A,FALSE,"pmtsgrph";#N/A,#N/A,FALSE,"GRPH"}</definedName>
    <definedName name="wrn.Treybourne._.3." localSheetId="6" hidden="1">{#N/A,#N/A,FALSE,"FV est";#N/A,#N/A,FALSE,"Cost Sum";#N/A,#N/A,FALSE,"Sales Sum";#N/A,#N/A,FALSE,"Income Sum";#N/A,#N/A,FALSE,"Lnd Sal";#N/A,#N/A,FALSE,"Sales 1";#N/A,#N/A,FALSE,"Lease 1";#N/A,#N/A,FALSE,"Lease 2";#N/A,#N/A,FALSE,"Mtg Eqty";#N/A,#N/A,FALSE,"Income 1";#N/A,#N/A,FALSE,"Reconcl"}</definedName>
    <definedName name="__123Graph_A" localSheetId="7" hidden="1">[1]GRPH!$A$3:$X$3</definedName>
    <definedName name="__123Graph_X" localSheetId="7" hidden="1">[1]GRPH!$A$2:$X$2</definedName>
    <definedName name="BEGDATE" localSheetId="7">#REF!</definedName>
    <definedName name="LOTPRICE" localSheetId="7">#REF!</definedName>
    <definedName name="wrn.Richards." localSheetId="7" hidden="1">{#N/A,#N/A,FALSE,"Emplmt";#N/A,#N/A,FALSE,"Rglemp";#N/A,#N/A,FALSE,"EBI";#N/A,#N/A,FALSE,"HAI";#N/A,#N/A,FALSE,"pmtsgrph";#N/A,#N/A,FALSE,"GRPH"}</definedName>
    <definedName name="wrn.Treybourne._.3." localSheetId="7" hidden="1">{#N/A,#N/A,FALSE,"FV est";#N/A,#N/A,FALSE,"Cost Sum";#N/A,#N/A,FALSE,"Sales Sum";#N/A,#N/A,FALSE,"Income Sum";#N/A,#N/A,FALSE,"Lnd Sal";#N/A,#N/A,FALSE,"Sales 1";#N/A,#N/A,FALSE,"Lease 1";#N/A,#N/A,FALSE,"Lease 2";#N/A,#N/A,FALSE,"Mtg Eqty";#N/A,#N/A,FALSE,"Income 1";#N/A,#N/A,FALSE,"Reconcl"}</definedName>
    <definedName name="_xlnm.Print_Area" localSheetId="7">'Mtg Eqty'!$A$1:$G$28</definedName>
    <definedName name="_xlnm.Print_Area" localSheetId="9">'Land AS IS (sf)'!$A$1:$K$52</definedName>
    <definedName name="BEGDATE" localSheetId="10">#REF!</definedName>
    <definedName name="LOTPRICE" localSheetId="10">#REF!</definedName>
    <definedName name="Print_Area_MI" localSheetId="10">#REF!</definedName>
    <definedName name="wrn.Richards." localSheetId="10" hidden="1">{#N/A,#N/A,FALSE,"Emplmt";#N/A,#N/A,FALSE,"Rglemp";#N/A,#N/A,FALSE,"EBI";#N/A,#N/A,FALSE,"HAI";#N/A,#N/A,FALSE,"pmtsgrph";#N/A,#N/A,FALSE,"GRPH"}</definedName>
    <definedName name="wrn.Treybourne._.3." localSheetId="10" hidden="1">{#N/A,#N/A,FALSE,"FV est";#N/A,#N/A,FALSE,"Cost Sum";#N/A,#N/A,FALSE,"Sales Sum";#N/A,#N/A,FALSE,"Income Sum";#N/A,#N/A,FALSE,"Lnd Sal";#N/A,#N/A,FALSE,"Sales 1";#N/A,#N/A,FALSE,"Lease 1";#N/A,#N/A,FALSE,"Lease 2";#N/A,#N/A,FALSE,"Mtg Eqty";#N/A,#N/A,FALSE,"Income 1";#N/A,#N/A,FALSE,"Reconcl"}</definedName>
    <definedName name="_xlnm.Print_Area" localSheetId="10">'Land Sales (2)'!$A$1:$H$29</definedName>
    <definedName name="wrn.Richards." localSheetId="11" hidden="1">{#N/A,#N/A,FALSE,"Emplmt";#N/A,#N/A,FALSE,"Rglemp";#N/A,#N/A,FALSE,"EBI";#N/A,#N/A,FALSE,"HAI";#N/A,#N/A,FALSE,"pmtsgrph";#N/A,#N/A,FALSE,"GRPH"}</definedName>
    <definedName name="wrn.Treybourne._.3." localSheetId="11" hidden="1">{#N/A,#N/A,FALSE,"FV est";#N/A,#N/A,FALSE,"Cost Sum";#N/A,#N/A,FALSE,"Sales Sum";#N/A,#N/A,FALSE,"Income Sum";#N/A,#N/A,FALSE,"Lnd Sal";#N/A,#N/A,FALSE,"Sales 1";#N/A,#N/A,FALSE,"Lease 1";#N/A,#N/A,FALSE,"Lease 2";#N/A,#N/A,FALSE,"Mtg Eqty";#N/A,#N/A,FALSE,"Income 1";#N/A,#N/A,FALSE,"Reconcl"}</definedName>
    <definedName name="wrn.Richards." localSheetId="12" hidden="1">{#N/A,#N/A,FALSE,"Emplmt";#N/A,#N/A,FALSE,"Rglemp";#N/A,#N/A,FALSE,"EBI";#N/A,#N/A,FALSE,"HAI";#N/A,#N/A,FALSE,"pmtsgrph";#N/A,#N/A,FALSE,"GRPH"}</definedName>
    <definedName name="wrn.Treybourne._.3." localSheetId="12" hidden="1">{#N/A,#N/A,FALSE,"FV est";#N/A,#N/A,FALSE,"Cost Sum";#N/A,#N/A,FALSE,"Sales Sum";#N/A,#N/A,FALSE,"Income Sum";#N/A,#N/A,FALSE,"Lnd Sal";#N/A,#N/A,FALSE,"Sales 1";#N/A,#N/A,FALSE,"Lease 1";#N/A,#N/A,FALSE,"Lease 2";#N/A,#N/A,FALSE,"Mtg Eqty";#N/A,#N/A,FALSE,"Income 1";#N/A,#N/A,FALSE,"Reconcl"}</definedName>
    <definedName name="BEGDATE" localSheetId="13">#REF!</definedName>
    <definedName name="LOTPRICE" localSheetId="13">#REF!</definedName>
    <definedName name="Print_Area_MI" localSheetId="13">#REF!</definedName>
    <definedName name="wrn.Richards." localSheetId="13" hidden="1">{#N/A,#N/A,FALSE,"Emplmt";#N/A,#N/A,FALSE,"Rglemp";#N/A,#N/A,FALSE,"EBI";#N/A,#N/A,FALSE,"HAI";#N/A,#N/A,FALSE,"pmtsgrph";#N/A,#N/A,FALSE,"GRPH"}</definedName>
    <definedName name="wrn.Treybourne._.3." localSheetId="13" hidden="1">{#N/A,#N/A,FALSE,"FV est";#N/A,#N/A,FALSE,"Cost Sum";#N/A,#N/A,FALSE,"Sales Sum";#N/A,#N/A,FALSE,"Income Sum";#N/A,#N/A,FALSE,"Lnd Sal";#N/A,#N/A,FALSE,"Sales 1";#N/A,#N/A,FALSE,"Lease 1";#N/A,#N/A,FALSE,"Lease 2";#N/A,#N/A,FALSE,"Mtg Eqty";#N/A,#N/A,FALSE,"Income 1";#N/A,#N/A,FALSE,"Reconcl"}</definedName>
    <definedName name="_xlnm.Print_Area" localSheetId="13">'Rglemp'!$E$9:$M$23</definedName>
    <definedName name="BEGDATE" localSheetId="14">#REF!</definedName>
    <definedName name="LOTPRICE" localSheetId="14">#REF!</definedName>
    <definedName name="Print_Area_MI" localSheetId="14">#REF!</definedName>
    <definedName name="wrn.Richards." localSheetId="14" hidden="1">{#N/A,#N/A,FALSE,"Emplmt";#N/A,#N/A,FALSE,"Rglemp";#N/A,#N/A,FALSE,"EBI";#N/A,#N/A,FALSE,"HAI";#N/A,#N/A,FALSE,"pmtsgrph";#N/A,#N/A,FALSE,"GRPH"}</definedName>
    <definedName name="wrn.Treybourne._.3." localSheetId="14" hidden="1">{#N/A,#N/A,FALSE,"FV est";#N/A,#N/A,FALSE,"Cost Sum";#N/A,#N/A,FALSE,"Sales Sum";#N/A,#N/A,FALSE,"Income Sum";#N/A,#N/A,FALSE,"Lnd Sal";#N/A,#N/A,FALSE,"Sales 1";#N/A,#N/A,FALSE,"Lease 1";#N/A,#N/A,FALSE,"Lease 2";#N/A,#N/A,FALSE,"Mtg Eqty";#N/A,#N/A,FALSE,"Income 1";#N/A,#N/A,FALSE,"Reconcl"}</definedName>
    <definedName name="BEGDATE" localSheetId="15">#REF!</definedName>
    <definedName name="LOTPRICE" localSheetId="15">#REF!</definedName>
    <definedName name="Print_Area_MI" localSheetId="15">#REF!</definedName>
    <definedName name="wrn.Richards." localSheetId="15" hidden="1">{#N/A,#N/A,FALSE,"Emplmt";#N/A,#N/A,FALSE,"Rglemp";#N/A,#N/A,FALSE,"EBI";#N/A,#N/A,FALSE,"HAI";#N/A,#N/A,FALSE,"pmtsgrph";#N/A,#N/A,FALSE,"GRPH"}</definedName>
    <definedName name="wrn.Treybourne._.3." localSheetId="15" hidden="1">{#N/A,#N/A,FALSE,"FV est";#N/A,#N/A,FALSE,"Cost Sum";#N/A,#N/A,FALSE,"Sales Sum";#N/A,#N/A,FALSE,"Income Sum";#N/A,#N/A,FALSE,"Lnd Sal";#N/A,#N/A,FALSE,"Sales 1";#N/A,#N/A,FALSE,"Lease 1";#N/A,#N/A,FALSE,"Lease 2";#N/A,#N/A,FALSE,"Mtg Eqty";#N/A,#N/A,FALSE,"Income 1";#N/A,#N/A,FALSE,"Reconcl"}</definedName>
    <definedName name="_xlnm.Print_Area" localSheetId="15">'EBI'!$B$2:$G$26</definedName>
  </definedNames>
  <calcPr calcId="191029" fullCalcOnLoad="1"/>
</workbook>
</file>

<file path=xl/styles.xml><?xml version="1.0" encoding="utf-8"?>
<styleSheet xmlns="http://schemas.openxmlformats.org/spreadsheetml/2006/main">
  <numFmts count="48">
    <numFmt numFmtId="164" formatCode="General_)"/>
    <numFmt numFmtId="165" formatCode="0.00_)"/>
    <numFmt numFmtId="166" formatCode="&quot;$&quot;#,##0_);\(&quot;$&quot;#,##0\)"/>
    <numFmt numFmtId="167" formatCode="0.0_)"/>
    <numFmt numFmtId="168" formatCode="\ @"/>
    <numFmt numFmtId="169" formatCode="0%_)"/>
    <numFmt numFmtId="170" formatCode="mmmm\ dd\,\ yyyy"/>
    <numFmt numFmtId="171" formatCode="\ mmm\-yy"/>
    <numFmt numFmtId="172" formatCode="\+&quot;$&quot;#,##0_);\-&quot;$&quot;#,##0_)"/>
    <numFmt numFmtId="173" formatCode="\+0.0%;\-0.0%"/>
    <numFmt numFmtId="174" formatCode="_(&quot;$&quot;* #,##0_);_(&quot;$&quot;* \(#,##0\);_(&quot;$&quot;* &quot;-&quot;??_);_(@_)"/>
    <numFmt numFmtId="175" formatCode="0.0%"/>
    <numFmt numFmtId="176" formatCode="&quot;@ &quot;&quot;$&quot;#,###&quot; AC&quot;"/>
    <numFmt numFmtId="177" formatCode="&quot;= &quot;&quot;$&quot;###,##0_)"/>
    <numFmt numFmtId="178" formatCode="&quot;= &quot;&quot;$&quot;###,##0"/>
    <numFmt numFmtId="179" formatCode="&quot;$&quot;###,##0_)"/>
    <numFmt numFmtId="180" formatCode="\ ##,###&quot; SF&quot;\ "/>
    <numFmt numFmtId="181" formatCode="m/d/yyyy;@"/>
    <numFmt numFmtId="182" formatCode="&quot;x &quot;&quot;$&quot;#,###.00&quot; per SF&quot;"/>
    <numFmt numFmtId="183" formatCode="##,###.000&quot; AC&quot;\ "/>
    <numFmt numFmtId="184" formatCode="\ ##,###.000&quot; AC&quot;\ "/>
    <numFmt numFmtId="185" formatCode="&quot;$&quot;#,##0.00_);\(&quot;$&quot;#,##0.00\)"/>
    <numFmt numFmtId="186" formatCode="\+&quot;$&quot;#,##0.00_);\-&quot;$&quot;#,##0.00_)"/>
    <numFmt numFmtId="187" formatCode="_(* #,##0_);_(* \(#,##0\);_(* &quot;-&quot;??_);_(@_)"/>
    <numFmt numFmtId="188" formatCode="##,###&quot; AC&quot;\ "/>
    <numFmt numFmtId="189" formatCode="##,##0&quot; SF&quot;\ "/>
    <numFmt numFmtId="190" formatCode="&quot;/ &quot;0.00%"/>
    <numFmt numFmtId="191" formatCode="&quot;$&quot;#,000_);\(&quot;$&quot;#,000\)"/>
    <numFmt numFmtId="192" formatCode="0.000000"/>
    <numFmt numFmtId="193" formatCode="0.0000%"/>
    <numFmt numFmtId="194" formatCode="0_)"/>
    <numFmt numFmtId="195" formatCode="\ ##,###.00&quot; AC&quot;\ "/>
    <numFmt numFmtId="196" formatCode="&quot;$&quot;#,##0"/>
    <numFmt numFmtId="197" formatCode="&quot;$&quot;#,##0.00"/>
    <numFmt numFmtId="198" formatCode="##,###.00&quot; AC&quot;\ "/>
    <numFmt numFmtId="199" formatCode="##,###&quot; SF&quot;\ "/>
    <numFmt numFmtId="200" formatCode="&quot;$&quot;#,##0.00_);\(&quot;$&quot;#,##0\)"/>
    <numFmt numFmtId="201" formatCode="_(&quot;$&quot;* #,##0.00_);_(&quot;$&quot;* \(#,##0.00\);_(&quot;$&quot;* &quot;-&quot;??_);_(@_)"/>
    <numFmt numFmtId="202" formatCode="mmmm\ yyyy"/>
    <numFmt numFmtId="203" formatCode="&quot;(&quot;&quot;$&quot;0#.#0&quot; per SF)&quot;"/>
    <numFmt numFmtId="204" formatCode="&quot;$&quot;#,##0_);[Red]\(&quot;$&quot;#,##0\)"/>
    <numFmt numFmtId="205" formatCode="&quot;(&quot;&quot;$&quot;#.#0&quot; per SF)&quot;"/>
    <numFmt numFmtId="206" formatCode="&quot;(&quot;&quot;$&quot;#.##&quot; per SF)&quot;"/>
    <numFmt numFmtId="207" formatCode="mmmm\ d\,\ yyyy"/>
    <numFmt numFmtId="208" formatCode="[$-409]mmmm\ d\,\ yyyy;@"/>
    <numFmt numFmtId="209" formatCode="&quot;$&quot;#.0000&quot;/$100 AV&quot;"/>
    <numFmt numFmtId="210" formatCode="&quot;$&quot;##,###.00&quot;/SF&quot;\ "/>
    <numFmt numFmtId="211" formatCode="&quot;$&quot;##,##0.00&quot;/SF&quot;\ "/>
  </numFmts>
  <fonts count="49">
    <font>
      <name val="Courier"/>
      <sz val="10"/>
    </font>
    <font>
      <name val="Aptos Narrow"/>
      <family val="2"/>
      <color theme="1"/>
      <sz val="11"/>
      <scheme val="minor"/>
    </font>
    <font>
      <name val="Helv"/>
      <sz val="12"/>
    </font>
    <font>
      <name val="Times New Roman"/>
      <family val="1"/>
      <b val="1"/>
      <sz val="12"/>
      <u val="single"/>
    </font>
    <font>
      <name val="Courier"/>
      <sz val="10"/>
    </font>
    <font>
      <name val="Courier"/>
      <b val="1"/>
      <sz val="12"/>
    </font>
    <font>
      <name val="Times New Roman"/>
      <family val="1"/>
      <sz val="12"/>
    </font>
    <font>
      <name val="Courier"/>
      <sz val="12"/>
    </font>
    <font>
      <name val="Times New Roman"/>
      <family val="1"/>
      <sz val="11"/>
    </font>
    <font>
      <name val="Times New Roman"/>
      <family val="1"/>
      <sz val="12"/>
      <u val="single"/>
    </font>
    <font>
      <name val="Times New Roman"/>
      <family val="1"/>
      <b val="1"/>
      <i val="1"/>
      <sz val="12"/>
    </font>
    <font>
      <name val="Times New Roman"/>
      <family val="1"/>
      <color indexed="10"/>
      <sz val="12"/>
    </font>
    <font>
      <name val="Times New Roman"/>
      <family val="1"/>
      <color indexed="8"/>
      <sz val="12"/>
    </font>
    <font>
      <name val="Times New Roman"/>
      <family val="1"/>
      <sz val="10"/>
    </font>
    <font>
      <name val="Times New Roman"/>
      <family val="1"/>
      <b val="1"/>
      <sz val="11"/>
    </font>
    <font>
      <name val="Times New Roman"/>
      <family val="1"/>
      <b val="1"/>
      <color rgb="FF000000"/>
      <sz val="11"/>
    </font>
    <font>
      <name val="Times New Roman"/>
      <family val="1"/>
      <b val="1"/>
      <sz val="12"/>
    </font>
    <font>
      <name val="Times New Roman"/>
      <family val="1"/>
      <b val="1"/>
      <sz val="11"/>
      <u val="single"/>
    </font>
    <font>
      <name val="Times New Roman"/>
      <family val="1"/>
      <sz val="14"/>
    </font>
    <font>
      <name val="Times New Roman"/>
      <family val="1"/>
      <sz val="11"/>
      <u val="single"/>
    </font>
    <font>
      <name val="Times New Roman"/>
      <family val="1"/>
      <sz val="9"/>
    </font>
    <font>
      <name val="Times New Roman"/>
      <family val="1"/>
      <b val="1"/>
      <i val="1"/>
      <sz val="9"/>
    </font>
    <font>
      <name val="Times New Roman"/>
      <family val="1"/>
      <color indexed="10"/>
      <sz val="9"/>
    </font>
    <font>
      <name val="Times New Roman"/>
      <family val="1"/>
      <color indexed="8"/>
      <sz val="11"/>
    </font>
    <font>
      <name val="Times New Roman"/>
      <family val="1"/>
      <b val="1"/>
      <i val="1"/>
      <sz val="8"/>
    </font>
    <font>
      <name val="Courier"/>
      <sz val="11"/>
    </font>
    <font>
      <name val="Times New Roman"/>
      <family val="1"/>
      <sz val="8"/>
    </font>
    <font>
      <name val="Times New Roman"/>
      <family val="1"/>
      <b val="1"/>
      <sz val="11"/>
      <u val="double"/>
    </font>
    <font>
      <name val="Courier"/>
      <sz val="8"/>
    </font>
    <font>
      <name val="Arial"/>
      <family val="2"/>
      <sz val="10"/>
    </font>
    <font>
      <name val="Times New Roman"/>
      <family val="1"/>
      <b val="1"/>
      <i val="1"/>
      <sz val="11"/>
    </font>
    <font>
      <name val="Arial"/>
      <family val="2"/>
      <sz val="10"/>
    </font>
    <font>
      <name val="Aptos Display"/>
      <family val="2"/>
      <sz val="10"/>
      <scheme val="major"/>
    </font>
    <font>
      <name val="Aptos Display"/>
      <family val="2"/>
      <sz val="11"/>
      <scheme val="major"/>
    </font>
    <font>
      <name val="Aptos Display"/>
      <family val="2"/>
      <b val="1"/>
      <sz val="10"/>
      <scheme val="major"/>
    </font>
    <font>
      <name val="Aptos Display"/>
      <family val="2"/>
      <color rgb="FF4C5257"/>
      <sz val="10"/>
      <scheme val="major"/>
    </font>
    <font>
      <name val="Aptos Display"/>
      <family val="2"/>
      <b val="1"/>
      <color rgb="FF0070C0"/>
      <sz val="10"/>
      <scheme val="major"/>
    </font>
    <font>
      <name val="Aptos Display"/>
      <family val="2"/>
      <color rgb="FF0070C0"/>
      <sz val="15"/>
      <scheme val="major"/>
    </font>
    <font>
      <name val="Times New Roman"/>
      <family val="1"/>
      <b val="1"/>
      <sz val="10"/>
    </font>
    <font>
      <name val="Times New Roman"/>
      <family val="1"/>
      <b val="1"/>
      <sz val="14"/>
    </font>
    <font>
      <name val="Aptos Display"/>
      <family val="2"/>
      <color theme="1"/>
      <sz val="18"/>
      <scheme val="major"/>
    </font>
    <font>
      <name val="Aptos Display"/>
      <family val="2"/>
      <color theme="1"/>
      <sz val="11"/>
      <scheme val="major"/>
    </font>
    <font>
      <name val="Courier"/>
      <b val="1"/>
      <sz val="10"/>
    </font>
    <font>
      <name val="Times New Roman"/>
      <family val="1"/>
      <b val="1"/>
      <color theme="1"/>
      <sz val="11"/>
    </font>
    <font>
      <name val="Times New Roman"/>
      <family val="1"/>
      <color theme="1"/>
      <sz val="11"/>
    </font>
    <font>
      <name val="Times New Roman"/>
      <family val="1"/>
      <b val="1"/>
      <color indexed="8"/>
      <sz val="11"/>
    </font>
    <font>
      <name val="Times New Roman"/>
      <family val="1"/>
      <color rgb="FFFF0000"/>
      <sz val="11"/>
    </font>
    <font>
      <name val="Times New Roman"/>
      <family val="1"/>
      <color rgb="FF0070C0"/>
      <sz val="11"/>
    </font>
    <font>
      <name val="Times New Roman"/>
      <family val="1"/>
      <i val="1"/>
      <sz val="11"/>
    </font>
  </fonts>
  <fills count="12">
    <fill>
      <patternFill/>
    </fill>
    <fill>
      <patternFill patternType="gray125"/>
    </fill>
    <fill>
      <patternFill patternType="lightUp">
        <fgColor indexed="8"/>
      </patternFill>
    </fill>
    <fill>
      <patternFill patternType="lightUp"/>
    </fill>
    <fill>
      <patternFill patternType="solid">
        <fgColor theme="0"/>
        <bgColor indexed="64"/>
      </patternFill>
    </fill>
    <fill>
      <patternFill patternType="lightUp">
        <bgColor theme="0"/>
      </patternFill>
    </fill>
    <fill>
      <patternFill patternType="lightUp">
        <fgColor indexed="8"/>
        <bgColor theme="0"/>
      </patternFill>
    </fill>
    <fill>
      <patternFill patternType="solid">
        <fgColor theme="2" tint="-0.0999786370433668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1499679555650502"/>
        <bgColor rgb="FF000000"/>
      </patternFill>
    </fill>
    <fill>
      <patternFill patternType="solid">
        <fgColor theme="0" tint="-0.1499984740745262"/>
        <bgColor indexed="64"/>
      </patternFill>
    </fill>
  </fills>
  <borders count="8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/>
      <right style="double">
        <color rgb="FF000000"/>
      </right>
      <top/>
      <bottom/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4">
    <xf numFmtId="164" fontId="4" fillId="0" borderId="0"/>
    <xf numFmtId="43" fontId="8" fillId="0" borderId="0"/>
    <xf numFmtId="44" fontId="8" fillId="0" borderId="0"/>
    <xf numFmtId="9" fontId="8" fillId="0" borderId="0"/>
    <xf numFmtId="165" fontId="2" fillId="0" borderId="0"/>
    <xf numFmtId="194" fontId="8" fillId="0" borderId="0"/>
    <xf numFmtId="165" fontId="8" fillId="0" borderId="0"/>
    <xf numFmtId="0" fontId="8" fillId="0" borderId="0"/>
    <xf numFmtId="194" fontId="2" fillId="0" borderId="0"/>
    <xf numFmtId="164" fontId="4" fillId="0" borderId="0"/>
    <xf numFmtId="165" fontId="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1" fillId="0" borderId="0"/>
    <xf numFmtId="0" fontId="31" fillId="0" borderId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0" borderId="0"/>
    <xf numFmtId="0" fontId="1" fillId="0" borderId="0"/>
    <xf numFmtId="9" fontId="8" fillId="0" borderId="0"/>
  </cellStyleXfs>
  <cellXfs count="1101">
    <xf numFmtId="164" fontId="0" fillId="0" borderId="0" pivotButton="0" quotePrefix="0" xfId="0"/>
    <xf numFmtId="165" fontId="3" fillId="0" borderId="0" applyAlignment="1" pivotButton="0" quotePrefix="0" xfId="4">
      <alignment horizontal="left"/>
    </xf>
    <xf numFmtId="165" fontId="3" fillId="0" borderId="0" applyAlignment="1" pivotButton="0" quotePrefix="0" xfId="4">
      <alignment horizontal="centerContinuous"/>
    </xf>
    <xf numFmtId="164" fontId="5" fillId="0" borderId="0" pivotButton="0" quotePrefix="0" xfId="0"/>
    <xf numFmtId="165" fontId="6" fillId="0" borderId="0" applyAlignment="1" pivotButton="0" quotePrefix="0" xfId="4">
      <alignment horizontal="left"/>
    </xf>
    <xf numFmtId="165" fontId="6" fillId="0" borderId="0" applyAlignment="1" pivotButton="0" quotePrefix="0" xfId="4">
      <alignment horizontal="centerContinuous"/>
    </xf>
    <xf numFmtId="164" fontId="7" fillId="0" borderId="0" pivotButton="0" quotePrefix="0" xfId="0"/>
    <xf numFmtId="165" fontId="6" fillId="0" borderId="1" applyAlignment="1" pivotButton="0" quotePrefix="0" xfId="4">
      <alignment horizontal="left"/>
    </xf>
    <xf numFmtId="165" fontId="6" fillId="0" borderId="1" applyAlignment="1" pivotButton="0" quotePrefix="0" xfId="4">
      <alignment horizontal="centerContinuous"/>
    </xf>
    <xf numFmtId="164" fontId="6" fillId="0" borderId="1" applyAlignment="1" pivotButton="0" quotePrefix="0" xfId="0">
      <alignment horizontal="centerContinuous"/>
    </xf>
    <xf numFmtId="165" fontId="6" fillId="2" borderId="0" applyAlignment="1" pivotButton="0" quotePrefix="0" xfId="4">
      <alignment horizontal="centerContinuous"/>
    </xf>
    <xf numFmtId="165" fontId="6" fillId="2" borderId="1" applyAlignment="1" pivotButton="0" quotePrefix="0" xfId="4">
      <alignment horizontal="centerContinuous"/>
    </xf>
    <xf numFmtId="166" fontId="6" fillId="0" borderId="1" applyAlignment="1" pivotButton="0" quotePrefix="0" xfId="4">
      <alignment horizontal="right"/>
    </xf>
    <xf numFmtId="165" fontId="2" fillId="2" borderId="0" pivotButton="0" quotePrefix="0" xfId="4"/>
    <xf numFmtId="165" fontId="2" fillId="2" borderId="1" pivotButton="0" quotePrefix="0" xfId="4"/>
    <xf numFmtId="164" fontId="6" fillId="0" borderId="0" applyAlignment="1" pivotButton="0" quotePrefix="0" xfId="0">
      <alignment horizontal="right"/>
    </xf>
    <xf numFmtId="165" fontId="6" fillId="0" borderId="1" applyAlignment="1" pivotButton="0" quotePrefix="0" xfId="4">
      <alignment horizontal="right"/>
    </xf>
    <xf numFmtId="166" fontId="6" fillId="0" borderId="0" applyAlignment="1" pivotButton="0" quotePrefix="0" xfId="0">
      <alignment horizontal="right"/>
    </xf>
    <xf numFmtId="167" fontId="6" fillId="0" borderId="0" applyAlignment="1" pivotButton="0" quotePrefix="0" xfId="4">
      <alignment horizontal="left"/>
    </xf>
    <xf numFmtId="168" fontId="6" fillId="0" borderId="0" applyAlignment="1" pivotButton="0" quotePrefix="0" xfId="4">
      <alignment horizontal="left"/>
    </xf>
    <xf numFmtId="169" fontId="9" fillId="0" borderId="1" applyAlignment="1" pivotButton="0" quotePrefix="0" xfId="3">
      <alignment horizontal="right"/>
    </xf>
    <xf numFmtId="9" fontId="9" fillId="0" borderId="1" applyAlignment="1" pivotButton="0" quotePrefix="0" xfId="3">
      <alignment horizontal="right"/>
    </xf>
    <xf numFmtId="168" fontId="6" fillId="2" borderId="0" applyAlignment="1" pivotButton="0" quotePrefix="0" xfId="4">
      <alignment horizontal="left"/>
    </xf>
    <xf numFmtId="165" fontId="6" fillId="2" borderId="1" applyAlignment="1" pivotButton="0" quotePrefix="0" xfId="4">
      <alignment horizontal="left"/>
    </xf>
    <xf numFmtId="168" fontId="6" fillId="0" borderId="0" pivotButton="0" quotePrefix="0" xfId="0"/>
    <xf numFmtId="170" fontId="6" fillId="0" borderId="1" applyAlignment="1" pivotButton="0" quotePrefix="0" xfId="5">
      <alignment horizontal="left"/>
    </xf>
    <xf numFmtId="165" fontId="6" fillId="2" borderId="0" applyAlignment="1" pivotButton="0" quotePrefix="0" xfId="4">
      <alignment horizontal="left"/>
    </xf>
    <xf numFmtId="17" fontId="6" fillId="0" borderId="1" applyAlignment="1" pivotButton="0" quotePrefix="0" xfId="4">
      <alignment horizontal="left"/>
    </xf>
    <xf numFmtId="171" fontId="6" fillId="0" borderId="0" applyAlignment="1" pivotButton="0" quotePrefix="0" xfId="4">
      <alignment horizontal="left"/>
    </xf>
    <xf numFmtId="164" fontId="6" fillId="0" borderId="0" pivotButton="0" quotePrefix="0" xfId="0"/>
    <xf numFmtId="168" fontId="6" fillId="3" borderId="0" applyAlignment="1" pivotButton="0" quotePrefix="0" xfId="4">
      <alignment horizontal="left"/>
    </xf>
    <xf numFmtId="165" fontId="6" fillId="3" borderId="1" applyAlignment="1" pivotButton="0" quotePrefix="0" xfId="4">
      <alignment horizontal="left"/>
    </xf>
    <xf numFmtId="169" fontId="6" fillId="0" borderId="1" applyAlignment="1" pivotButton="0" quotePrefix="0" xfId="3">
      <alignment horizontal="right"/>
    </xf>
    <xf numFmtId="165" fontId="6" fillId="0" borderId="0" applyAlignment="1" pivotButton="0" quotePrefix="0" xfId="5">
      <alignment horizontal="left"/>
    </xf>
    <xf numFmtId="165" fontId="6" fillId="0" borderId="1" applyAlignment="1" pivotButton="0" quotePrefix="0" xfId="5">
      <alignment horizontal="right"/>
    </xf>
    <xf numFmtId="165" fontId="10" fillId="0" borderId="0" applyAlignment="1" pivotButton="0" quotePrefix="0" xfId="4">
      <alignment horizontal="left"/>
    </xf>
    <xf numFmtId="166" fontId="10" fillId="0" borderId="0" applyAlignment="1" pivotButton="0" quotePrefix="0" xfId="4">
      <alignment horizontal="left"/>
    </xf>
    <xf numFmtId="172" fontId="10" fillId="0" borderId="0" applyAlignment="1" pivotButton="0" quotePrefix="0" xfId="4">
      <alignment horizontal="right"/>
    </xf>
    <xf numFmtId="166" fontId="10" fillId="0" borderId="0" applyAlignment="1" pivotButton="0" quotePrefix="0" xfId="4">
      <alignment horizontal="right"/>
    </xf>
    <xf numFmtId="164" fontId="10" fillId="0" borderId="0" pivotButton="0" quotePrefix="0" xfId="0"/>
    <xf numFmtId="173" fontId="10" fillId="0" borderId="0" applyAlignment="1" pivotButton="0" quotePrefix="0" xfId="3">
      <alignment horizontal="right"/>
    </xf>
    <xf numFmtId="164" fontId="10" fillId="0" borderId="0" applyAlignment="1" pivotButton="0" quotePrefix="0" xfId="0">
      <alignment horizontal="right"/>
    </xf>
    <xf numFmtId="166" fontId="6" fillId="0" borderId="0" applyAlignment="1" pivotButton="0" quotePrefix="0" xfId="4">
      <alignment horizontal="left"/>
    </xf>
    <xf numFmtId="174" fontId="11" fillId="0" borderId="0" applyAlignment="1" pivotButton="0" quotePrefix="0" xfId="2">
      <alignment horizontal="left"/>
    </xf>
    <xf numFmtId="175" fontId="6" fillId="0" borderId="0" applyAlignment="1" pivotButton="0" quotePrefix="0" xfId="3">
      <alignment horizontal="left"/>
    </xf>
    <xf numFmtId="174" fontId="6" fillId="0" borderId="0" applyAlignment="1" pivotButton="0" quotePrefix="0" xfId="2">
      <alignment horizontal="left"/>
    </xf>
    <xf numFmtId="165" fontId="6" fillId="0" borderId="2" applyAlignment="1" pivotButton="0" quotePrefix="0" xfId="4">
      <alignment horizontal="left"/>
    </xf>
    <xf numFmtId="165" fontId="6" fillId="0" borderId="3" applyAlignment="1" pivotButton="0" quotePrefix="0" xfId="4">
      <alignment horizontal="left"/>
    </xf>
    <xf numFmtId="165" fontId="6" fillId="0" borderId="4" applyAlignment="1" pivotButton="0" quotePrefix="0" xfId="4">
      <alignment horizontal="left"/>
    </xf>
    <xf numFmtId="49" fontId="6" fillId="0" borderId="5" applyAlignment="1" pivotButton="0" quotePrefix="0" xfId="5">
      <alignment horizontal="left"/>
    </xf>
    <xf numFmtId="164" fontId="7" fillId="0" borderId="0" applyAlignment="1" pivotButton="0" quotePrefix="0" xfId="0">
      <alignment horizontal="centerContinuous"/>
    </xf>
    <xf numFmtId="176" fontId="12" fillId="0" borderId="0" applyAlignment="1" pivotButton="0" quotePrefix="1" xfId="1">
      <alignment horizontal="centerContinuous"/>
    </xf>
    <xf numFmtId="177" fontId="6" fillId="0" borderId="1" applyAlignment="1" pivotButton="0" quotePrefix="1" xfId="5">
      <alignment horizontal="right"/>
    </xf>
    <xf numFmtId="178" fontId="6" fillId="0" borderId="0" applyAlignment="1" pivotButton="0" quotePrefix="1" xfId="5">
      <alignment horizontal="left"/>
    </xf>
    <xf numFmtId="164" fontId="6" fillId="0" borderId="5" applyAlignment="1" pivotButton="0" quotePrefix="0" xfId="0">
      <alignment horizontal="left"/>
    </xf>
    <xf numFmtId="170" fontId="6" fillId="0" borderId="0" applyAlignment="1" pivotButton="0" quotePrefix="0" xfId="5">
      <alignment horizontal="left"/>
    </xf>
    <xf numFmtId="179" fontId="9" fillId="0" borderId="1" applyAlignment="1" pivotButton="0" quotePrefix="0" xfId="4">
      <alignment horizontal="right"/>
    </xf>
    <xf numFmtId="178" fontId="6" fillId="0" borderId="0" applyAlignment="1" pivotButton="0" quotePrefix="0" xfId="4">
      <alignment horizontal="left"/>
    </xf>
    <xf numFmtId="174" fontId="11" fillId="0" borderId="0" applyAlignment="1" pivotButton="0" quotePrefix="0" xfId="2">
      <alignment horizontal="left"/>
    </xf>
    <xf numFmtId="164" fontId="6" fillId="0" borderId="6" applyAlignment="1" pivotButton="0" quotePrefix="0" xfId="0">
      <alignment horizontal="left"/>
    </xf>
    <xf numFmtId="170" fontId="6" fillId="0" borderId="7" applyAlignment="1" pivotButton="0" quotePrefix="0" xfId="5">
      <alignment horizontal="left"/>
    </xf>
    <xf numFmtId="165" fontId="6" fillId="0" borderId="7" applyAlignment="1" pivotButton="0" quotePrefix="0" xfId="4">
      <alignment horizontal="left"/>
    </xf>
    <xf numFmtId="179" fontId="9" fillId="0" borderId="8" applyAlignment="1" pivotButton="0" quotePrefix="0" xfId="4">
      <alignment horizontal="right"/>
    </xf>
    <xf numFmtId="180" fontId="6" fillId="0" borderId="5" applyAlignment="1" pivotButton="0" quotePrefix="0" xfId="1">
      <alignment horizontal="left"/>
    </xf>
    <xf numFmtId="180" fontId="6" fillId="0" borderId="1" pivotButton="0" quotePrefix="0" xfId="1"/>
    <xf numFmtId="181" fontId="6" fillId="0" borderId="0" applyAlignment="1" pivotButton="0" quotePrefix="0" xfId="5">
      <alignment horizontal="left"/>
    </xf>
    <xf numFmtId="180" fontId="6" fillId="0" borderId="0" applyAlignment="1" pivotButton="0" quotePrefix="1" xfId="5">
      <alignment horizontal="left"/>
    </xf>
    <xf numFmtId="182" fontId="12" fillId="0" borderId="0" applyAlignment="1" pivotButton="0" quotePrefix="1" xfId="1">
      <alignment horizontal="centerContinuous"/>
    </xf>
    <xf numFmtId="164" fontId="8" fillId="0" borderId="0" applyAlignment="1" pivotButton="0" quotePrefix="0" xfId="0">
      <alignment vertical="center"/>
    </xf>
    <xf numFmtId="183" fontId="6" fillId="0" borderId="5" applyAlignment="1" pivotButton="0" quotePrefix="0" xfId="1">
      <alignment horizontal="left"/>
    </xf>
    <xf numFmtId="184" fontId="6" fillId="0" borderId="1" applyAlignment="1" pivotButton="0" quotePrefix="0" xfId="4">
      <alignment horizontal="right"/>
    </xf>
    <xf numFmtId="180" fontId="6" fillId="0" borderId="1" applyAlignment="1" pivotButton="0" quotePrefix="0" xfId="4">
      <alignment horizontal="right"/>
    </xf>
    <xf numFmtId="185" fontId="6" fillId="0" borderId="1" applyAlignment="1" pivotButton="0" quotePrefix="0" xfId="4">
      <alignment horizontal="right"/>
    </xf>
    <xf numFmtId="180" fontId="6" fillId="0" borderId="5" applyAlignment="1" pivotButton="0" quotePrefix="0" xfId="4">
      <alignment horizontal="left"/>
    </xf>
    <xf numFmtId="185" fontId="6" fillId="0" borderId="0" applyAlignment="1" pivotButton="0" quotePrefix="0" xfId="4">
      <alignment horizontal="left"/>
    </xf>
    <xf numFmtId="186" fontId="10" fillId="0" borderId="0" applyAlignment="1" pivotButton="0" quotePrefix="0" xfId="4">
      <alignment horizontal="right"/>
    </xf>
    <xf numFmtId="165" fontId="17" fillId="0" borderId="0" applyAlignment="1" pivotButton="0" quotePrefix="0" xfId="6">
      <alignment horizontal="left"/>
    </xf>
    <xf numFmtId="165" fontId="17" fillId="0" borderId="0" applyAlignment="1" pivotButton="0" quotePrefix="0" xfId="6">
      <alignment horizontal="centerContinuous"/>
    </xf>
    <xf numFmtId="165" fontId="8" fillId="0" borderId="0" applyAlignment="1" pivotButton="0" quotePrefix="0" xfId="6">
      <alignment horizontal="left"/>
    </xf>
    <xf numFmtId="165" fontId="8" fillId="0" borderId="0" applyAlignment="1" pivotButton="0" quotePrefix="0" xfId="6">
      <alignment horizontal="centerContinuous"/>
    </xf>
    <xf numFmtId="0" fontId="8" fillId="0" borderId="0" pivotButton="0" quotePrefix="0" xfId="7"/>
    <xf numFmtId="165" fontId="8" fillId="0" borderId="1" applyAlignment="1" pivotButton="0" quotePrefix="0" xfId="6">
      <alignment horizontal="left"/>
    </xf>
    <xf numFmtId="165" fontId="8" fillId="0" borderId="1" applyAlignment="1" pivotButton="0" quotePrefix="0" xfId="6">
      <alignment horizontal="centerContinuous"/>
    </xf>
    <xf numFmtId="164" fontId="8" fillId="0" borderId="0" applyAlignment="1" pivotButton="0" quotePrefix="0" xfId="9">
      <alignment horizontal="right"/>
    </xf>
    <xf numFmtId="166" fontId="8" fillId="0" borderId="1" applyAlignment="1" pivotButton="0" quotePrefix="0" xfId="6">
      <alignment horizontal="right"/>
    </xf>
    <xf numFmtId="187" fontId="8" fillId="0" borderId="1" applyAlignment="1" pivotButton="0" quotePrefix="0" xfId="1">
      <alignment horizontal="right"/>
    </xf>
    <xf numFmtId="165" fontId="8" fillId="2" borderId="0" applyAlignment="1" pivotButton="0" quotePrefix="0" xfId="6">
      <alignment horizontal="left"/>
    </xf>
    <xf numFmtId="165" fontId="8" fillId="2" borderId="1" applyAlignment="1" pivotButton="0" quotePrefix="0" xfId="6">
      <alignment horizontal="left"/>
    </xf>
    <xf numFmtId="166" fontId="8" fillId="0" borderId="0" applyAlignment="1" pivotButton="0" quotePrefix="0" xfId="9">
      <alignment horizontal="right"/>
    </xf>
    <xf numFmtId="185" fontId="8" fillId="0" borderId="1" applyAlignment="1" pivotButton="0" quotePrefix="0" xfId="6">
      <alignment horizontal="right"/>
    </xf>
    <xf numFmtId="168" fontId="8" fillId="0" borderId="0" applyAlignment="1" pivotButton="0" quotePrefix="0" xfId="6">
      <alignment horizontal="left"/>
    </xf>
    <xf numFmtId="169" fontId="19" fillId="0" borderId="1" applyAlignment="1" pivotButton="0" quotePrefix="0" xfId="3">
      <alignment horizontal="right"/>
    </xf>
    <xf numFmtId="165" fontId="8" fillId="0" borderId="1" applyAlignment="1" pivotButton="0" quotePrefix="0" xfId="6">
      <alignment horizontal="right"/>
    </xf>
    <xf numFmtId="164" fontId="8" fillId="0" borderId="0" pivotButton="0" quotePrefix="0" xfId="9"/>
    <xf numFmtId="169" fontId="8" fillId="0" borderId="1" applyAlignment="1" pivotButton="0" quotePrefix="0" xfId="3">
      <alignment horizontal="right"/>
    </xf>
    <xf numFmtId="188" fontId="8" fillId="0" borderId="1" applyAlignment="1" pivotButton="0" quotePrefix="0" xfId="6">
      <alignment horizontal="left"/>
    </xf>
    <xf numFmtId="165" fontId="8" fillId="0" borderId="0" applyAlignment="1" pivotButton="0" quotePrefix="0" xfId="5">
      <alignment horizontal="left"/>
    </xf>
    <xf numFmtId="165" fontId="8" fillId="0" borderId="1" applyAlignment="1" pivotButton="0" quotePrefix="0" xfId="5">
      <alignment horizontal="right"/>
    </xf>
    <xf numFmtId="165" fontId="20" fillId="0" borderId="0" applyAlignment="1" pivotButton="0" quotePrefix="0" xfId="6">
      <alignment horizontal="left"/>
    </xf>
    <xf numFmtId="166" fontId="20" fillId="0" borderId="0" applyAlignment="1" pivotButton="0" quotePrefix="0" xfId="6">
      <alignment horizontal="left"/>
    </xf>
    <xf numFmtId="175" fontId="20" fillId="0" borderId="0" applyAlignment="1" pivotButton="0" quotePrefix="0" xfId="3">
      <alignment horizontal="left"/>
    </xf>
    <xf numFmtId="165" fontId="8" fillId="0" borderId="2" applyAlignment="1" pivotButton="0" quotePrefix="0" xfId="6">
      <alignment horizontal="left"/>
    </xf>
    <xf numFmtId="165" fontId="8" fillId="0" borderId="3" applyAlignment="1" pivotButton="0" quotePrefix="0" xfId="6">
      <alignment horizontal="left"/>
    </xf>
    <xf numFmtId="165" fontId="8" fillId="0" borderId="4" applyAlignment="1" pivotButton="0" quotePrefix="0" xfId="6">
      <alignment horizontal="left"/>
    </xf>
    <xf numFmtId="49" fontId="8" fillId="0" borderId="5" applyAlignment="1" pivotButton="0" quotePrefix="0" xfId="5">
      <alignment horizontal="left"/>
    </xf>
    <xf numFmtId="182" fontId="23" fillId="0" borderId="0" applyAlignment="1" pivotButton="0" quotePrefix="1" xfId="1">
      <alignment horizontal="centerContinuous"/>
    </xf>
    <xf numFmtId="0" fontId="8" fillId="0" borderId="0" applyAlignment="1" pivotButton="0" quotePrefix="0" xfId="7">
      <alignment horizontal="centerContinuous"/>
    </xf>
    <xf numFmtId="178" fontId="20" fillId="0" borderId="0" applyAlignment="1" pivotButton="0" quotePrefix="1" xfId="5">
      <alignment horizontal="left"/>
    </xf>
    <xf numFmtId="164" fontId="8" fillId="0" borderId="6" applyAlignment="1" pivotButton="0" quotePrefix="0" xfId="9">
      <alignment horizontal="left"/>
    </xf>
    <xf numFmtId="170" fontId="8" fillId="0" borderId="7" applyAlignment="1" pivotButton="0" quotePrefix="0" xfId="5">
      <alignment horizontal="left"/>
    </xf>
    <xf numFmtId="165" fontId="8" fillId="0" borderId="7" applyAlignment="1" pivotButton="0" quotePrefix="0" xfId="6">
      <alignment horizontal="left"/>
    </xf>
    <xf numFmtId="178" fontId="20" fillId="0" borderId="0" applyAlignment="1" pivotButton="0" quotePrefix="0" xfId="6">
      <alignment horizontal="left"/>
    </xf>
    <xf numFmtId="164" fontId="20" fillId="0" borderId="0" applyAlignment="1" pivotButton="0" quotePrefix="0" xfId="9">
      <alignment horizontal="left"/>
    </xf>
    <xf numFmtId="0" fontId="8" fillId="0" borderId="0" pivotButton="0" quotePrefix="0" xfId="11"/>
    <xf numFmtId="165" fontId="24" fillId="0" borderId="0" applyAlignment="1" pivotButton="0" quotePrefix="0" xfId="6">
      <alignment horizontal="left"/>
    </xf>
    <xf numFmtId="186" fontId="24" fillId="0" borderId="0" applyAlignment="1" pivotButton="0" quotePrefix="0" xfId="6">
      <alignment horizontal="right"/>
    </xf>
    <xf numFmtId="166" fontId="24" fillId="0" borderId="0" applyAlignment="1" pivotButton="0" quotePrefix="0" xfId="6">
      <alignment horizontal="left"/>
    </xf>
    <xf numFmtId="164" fontId="24" fillId="0" borderId="0" applyAlignment="1" pivotButton="0" quotePrefix="0" xfId="9">
      <alignment horizontal="right"/>
    </xf>
    <xf numFmtId="173" fontId="24" fillId="0" borderId="0" applyAlignment="1" pivotButton="0" quotePrefix="0" xfId="3">
      <alignment horizontal="right"/>
    </xf>
    <xf numFmtId="164" fontId="24" fillId="0" borderId="0" pivotButton="0" quotePrefix="0" xfId="9"/>
    <xf numFmtId="165" fontId="14" fillId="0" borderId="5" applyAlignment="1" pivotButton="0" quotePrefix="0" xfId="6">
      <alignment horizontal="centerContinuous"/>
    </xf>
    <xf numFmtId="0" fontId="8" fillId="0" borderId="1" applyAlignment="1" pivotButton="0" quotePrefix="0" xfId="7">
      <alignment horizontal="centerContinuous"/>
    </xf>
    <xf numFmtId="189" fontId="8" fillId="0" borderId="0" applyAlignment="1" pivotButton="0" quotePrefix="1" xfId="5">
      <alignment horizontal="left"/>
    </xf>
    <xf numFmtId="164" fontId="25" fillId="0" borderId="0" applyAlignment="1" pivotButton="0" quotePrefix="0" xfId="9">
      <alignment horizontal="centerContinuous"/>
    </xf>
    <xf numFmtId="177" fontId="19" fillId="0" borderId="1" applyAlignment="1" pivotButton="0" quotePrefix="1" xfId="5">
      <alignment horizontal="right"/>
    </xf>
    <xf numFmtId="165" fontId="8" fillId="0" borderId="8" applyAlignment="1" pivotButton="0" quotePrefix="0" xfId="6">
      <alignment horizontal="left"/>
    </xf>
    <xf numFmtId="179" fontId="19" fillId="0" borderId="0" applyAlignment="1" pivotButton="0" quotePrefix="0" xfId="6">
      <alignment horizontal="right"/>
    </xf>
    <xf numFmtId="49" fontId="8" fillId="0" borderId="0" applyAlignment="1" pivotButton="0" quotePrefix="0" xfId="12">
      <alignment horizontal="centerContinuous"/>
    </xf>
    <xf numFmtId="0" fontId="8" fillId="0" borderId="0" pivotButton="0" quotePrefix="0" xfId="12"/>
    <xf numFmtId="0" fontId="26" fillId="0" borderId="0" pivotButton="0" quotePrefix="0" xfId="13"/>
    <xf numFmtId="0" fontId="14" fillId="0" borderId="0" pivotButton="0" quotePrefix="0" xfId="12"/>
    <xf numFmtId="0" fontId="14" fillId="0" borderId="0" applyAlignment="1" pivotButton="0" quotePrefix="0" xfId="12">
      <alignment horizontal="center"/>
    </xf>
    <xf numFmtId="0" fontId="17" fillId="0" borderId="0" applyAlignment="1" pivotButton="0" quotePrefix="0" xfId="12">
      <alignment horizontal="center"/>
    </xf>
    <xf numFmtId="166" fontId="14" fillId="0" borderId="0" applyAlignment="1" pivotButton="0" quotePrefix="0" xfId="12">
      <alignment horizontal="center"/>
    </xf>
    <xf numFmtId="190" fontId="14" fillId="0" borderId="0" applyAlignment="1" pivotButton="0" quotePrefix="1" xfId="12">
      <alignment horizontal="center"/>
    </xf>
    <xf numFmtId="177" fontId="14" fillId="0" borderId="0" pivotButton="0" quotePrefix="0" xfId="12"/>
    <xf numFmtId="0" fontId="14" fillId="0" borderId="0" applyAlignment="1" pivotButton="0" quotePrefix="1" xfId="12">
      <alignment horizontal="left"/>
    </xf>
    <xf numFmtId="166" fontId="17" fillId="0" borderId="0" pivotButton="0" quotePrefix="0" xfId="12"/>
    <xf numFmtId="191" fontId="27" fillId="0" borderId="0" pivotButton="0" quotePrefix="0" xfId="12"/>
    <xf numFmtId="0" fontId="3" fillId="0" borderId="0" applyAlignment="1" pivotButton="0" quotePrefix="0" xfId="14">
      <alignment horizontal="centerContinuous"/>
    </xf>
    <xf numFmtId="0" fontId="16" fillId="0" borderId="0" applyAlignment="1" pivotButton="0" quotePrefix="0" xfId="14">
      <alignment horizontal="centerContinuous"/>
    </xf>
    <xf numFmtId="0" fontId="8" fillId="0" borderId="0" pivotButton="0" quotePrefix="0" xfId="14"/>
    <xf numFmtId="9" fontId="8" fillId="0" borderId="0" pivotButton="0" quotePrefix="0" xfId="14"/>
    <xf numFmtId="0" fontId="8" fillId="0" borderId="0" applyAlignment="1" pivotButton="0" quotePrefix="1" xfId="14">
      <alignment horizontal="left"/>
    </xf>
    <xf numFmtId="0" fontId="8" fillId="0" borderId="0" applyAlignment="1" pivotButton="0" quotePrefix="0" xfId="14">
      <alignment horizontal="centerContinuous"/>
    </xf>
    <xf numFmtId="192" fontId="8" fillId="0" borderId="0" pivotButton="0" quotePrefix="0" xfId="14"/>
    <xf numFmtId="192" fontId="19" fillId="0" borderId="0" pivotButton="0" quotePrefix="0" xfId="14"/>
    <xf numFmtId="193" fontId="8" fillId="0" borderId="0" applyAlignment="1" pivotButton="0" quotePrefix="0" xfId="14">
      <alignment horizontal="center"/>
    </xf>
    <xf numFmtId="0" fontId="8" fillId="0" borderId="0" applyAlignment="1" pivotButton="0" quotePrefix="0" xfId="14">
      <alignment horizontal="center"/>
    </xf>
    <xf numFmtId="192" fontId="8" fillId="0" borderId="0" applyAlignment="1" pivotButton="0" quotePrefix="0" xfId="14">
      <alignment horizontal="center"/>
    </xf>
    <xf numFmtId="0" fontId="14" fillId="0" borderId="0" pivotButton="0" quotePrefix="0" xfId="14"/>
    <xf numFmtId="192" fontId="14" fillId="0" borderId="0" pivotButton="0" quotePrefix="0" xfId="14"/>
    <xf numFmtId="10" fontId="27" fillId="0" borderId="0" pivotButton="0" quotePrefix="0" xfId="14"/>
    <xf numFmtId="165" fontId="8" fillId="4" borderId="0" applyAlignment="1" pivotButton="0" quotePrefix="0" xfId="6">
      <alignment horizontal="centerContinuous"/>
    </xf>
    <xf numFmtId="194" fontId="8" fillId="4" borderId="0" applyAlignment="1" pivotButton="0" quotePrefix="0" xfId="8">
      <alignment horizontal="centerContinuous"/>
    </xf>
    <xf numFmtId="165" fontId="8" fillId="4" borderId="1" applyAlignment="1" pivotButton="0" quotePrefix="0" xfId="6">
      <alignment horizontal="centerContinuous"/>
    </xf>
    <xf numFmtId="164" fontId="8" fillId="4" borderId="0" applyAlignment="1" pivotButton="0" quotePrefix="0" xfId="9">
      <alignment horizontal="right"/>
    </xf>
    <xf numFmtId="166" fontId="8" fillId="4" borderId="1" applyAlignment="1" pivotButton="0" quotePrefix="0" xfId="6">
      <alignment horizontal="right"/>
    </xf>
    <xf numFmtId="187" fontId="8" fillId="4" borderId="0" applyAlignment="1" pivotButton="0" quotePrefix="0" xfId="1">
      <alignment horizontal="right"/>
    </xf>
    <xf numFmtId="187" fontId="8" fillId="4" borderId="1" applyAlignment="1" pivotButton="0" quotePrefix="0" xfId="1">
      <alignment horizontal="right"/>
    </xf>
    <xf numFmtId="166" fontId="8" fillId="4" borderId="0" applyAlignment="1" pivotButton="0" quotePrefix="0" xfId="9">
      <alignment horizontal="right"/>
    </xf>
    <xf numFmtId="185" fontId="8" fillId="4" borderId="1" applyAlignment="1" pivotButton="0" quotePrefix="0" xfId="6">
      <alignment horizontal="right"/>
    </xf>
    <xf numFmtId="195" fontId="8" fillId="4" borderId="0" applyAlignment="1" pivotButton="0" quotePrefix="0" xfId="9">
      <alignment horizontal="right"/>
    </xf>
    <xf numFmtId="184" fontId="8" fillId="4" borderId="1" applyAlignment="1" pivotButton="0" quotePrefix="0" xfId="6">
      <alignment horizontal="right"/>
    </xf>
    <xf numFmtId="195" fontId="8" fillId="4" borderId="1" applyAlignment="1" pivotButton="0" quotePrefix="0" xfId="6">
      <alignment horizontal="right"/>
    </xf>
    <xf numFmtId="180" fontId="8" fillId="4" borderId="1" applyAlignment="1" pivotButton="0" quotePrefix="0" xfId="6">
      <alignment horizontal="right"/>
    </xf>
    <xf numFmtId="165" fontId="8" fillId="4" borderId="0" applyAlignment="1" pivotButton="0" quotePrefix="0" xfId="6">
      <alignment horizontal="left"/>
    </xf>
    <xf numFmtId="165" fontId="8" fillId="4" borderId="1" applyAlignment="1" pivotButton="0" quotePrefix="0" xfId="6">
      <alignment horizontal="left"/>
    </xf>
    <xf numFmtId="167" fontId="8" fillId="4" borderId="0" applyAlignment="1" pivotButton="0" quotePrefix="0" xfId="6">
      <alignment horizontal="left"/>
    </xf>
    <xf numFmtId="168" fontId="8" fillId="4" borderId="0" applyAlignment="1" pivotButton="0" quotePrefix="0" xfId="6">
      <alignment horizontal="left"/>
    </xf>
    <xf numFmtId="169" fontId="19" fillId="4" borderId="1" applyAlignment="1" pivotButton="0" quotePrefix="0" xfId="3">
      <alignment horizontal="right"/>
    </xf>
    <xf numFmtId="165" fontId="8" fillId="4" borderId="1" applyAlignment="1" pivotButton="0" quotePrefix="0" xfId="6">
      <alignment horizontal="right"/>
    </xf>
    <xf numFmtId="171" fontId="8" fillId="4" borderId="0" applyAlignment="1" pivotButton="0" quotePrefix="0" xfId="6">
      <alignment horizontal="left"/>
    </xf>
    <xf numFmtId="164" fontId="8" fillId="4" borderId="0" pivotButton="0" quotePrefix="0" xfId="9"/>
    <xf numFmtId="189" fontId="8" fillId="4" borderId="5" applyAlignment="1" pivotButton="0" quotePrefix="0" xfId="6">
      <alignment horizontal="left"/>
    </xf>
    <xf numFmtId="169" fontId="8" fillId="4" borderId="1" applyAlignment="1" pivotButton="0" quotePrefix="0" xfId="3">
      <alignment horizontal="right"/>
    </xf>
    <xf numFmtId="195" fontId="8" fillId="4" borderId="0" applyAlignment="1" pivotButton="0" quotePrefix="0" xfId="6">
      <alignment horizontal="left"/>
    </xf>
    <xf numFmtId="165" fontId="8" fillId="4" borderId="0" applyAlignment="1" pivotButton="0" quotePrefix="0" xfId="5">
      <alignment horizontal="left"/>
    </xf>
    <xf numFmtId="165" fontId="8" fillId="4" borderId="1" applyAlignment="1" pivotButton="0" quotePrefix="0" xfId="5">
      <alignment horizontal="right"/>
    </xf>
    <xf numFmtId="165" fontId="20" fillId="4" borderId="0" applyAlignment="1" pivotButton="0" quotePrefix="0" xfId="6">
      <alignment horizontal="left"/>
    </xf>
    <xf numFmtId="165" fontId="21" fillId="4" borderId="0" applyAlignment="1" pivotButton="0" quotePrefix="0" xfId="6">
      <alignment horizontal="left"/>
    </xf>
    <xf numFmtId="186" fontId="21" fillId="4" borderId="0" applyAlignment="1" pivotButton="0" quotePrefix="0" xfId="6">
      <alignment horizontal="right"/>
    </xf>
    <xf numFmtId="166" fontId="21" fillId="4" borderId="0" applyAlignment="1" pivotButton="0" quotePrefix="0" xfId="6">
      <alignment horizontal="left"/>
    </xf>
    <xf numFmtId="173" fontId="21" fillId="4" borderId="0" applyAlignment="1" pivotButton="0" quotePrefix="0" xfId="3">
      <alignment horizontal="right"/>
    </xf>
    <xf numFmtId="164" fontId="21" fillId="4" borderId="0" pivotButton="0" quotePrefix="0" xfId="9"/>
    <xf numFmtId="0" fontId="8" fillId="4" borderId="0" pivotButton="0" quotePrefix="0" xfId="7"/>
    <xf numFmtId="166" fontId="20" fillId="4" borderId="0" applyAlignment="1" pivotButton="0" quotePrefix="0" xfId="6">
      <alignment horizontal="left"/>
    </xf>
    <xf numFmtId="166" fontId="8" fillId="4" borderId="0" applyAlignment="1" pivotButton="0" quotePrefix="0" xfId="6">
      <alignment horizontal="right"/>
    </xf>
    <xf numFmtId="187" fontId="8" fillId="4" borderId="0" applyAlignment="1" pivotButton="0" quotePrefix="0" xfId="1">
      <alignment horizontal="right"/>
    </xf>
    <xf numFmtId="185" fontId="8" fillId="4" borderId="0" applyAlignment="1" pivotButton="0" quotePrefix="0" xfId="6">
      <alignment horizontal="right"/>
    </xf>
    <xf numFmtId="195" fontId="8" fillId="4" borderId="0" applyAlignment="1" pivotButton="0" quotePrefix="0" xfId="6">
      <alignment horizontal="right"/>
    </xf>
    <xf numFmtId="180" fontId="8" fillId="4" borderId="0" applyAlignment="1" pivotButton="0" quotePrefix="0" xfId="6">
      <alignment horizontal="right"/>
    </xf>
    <xf numFmtId="169" fontId="19" fillId="4" borderId="0" applyAlignment="1" pivotButton="0" quotePrefix="0" xfId="3">
      <alignment horizontal="right"/>
    </xf>
    <xf numFmtId="165" fontId="8" fillId="4" borderId="0" applyAlignment="1" pivotButton="0" quotePrefix="0" xfId="6">
      <alignment horizontal="right"/>
    </xf>
    <xf numFmtId="169" fontId="8" fillId="4" borderId="0" applyAlignment="1" pivotButton="0" quotePrefix="0" xfId="3">
      <alignment horizontal="right"/>
    </xf>
    <xf numFmtId="165" fontId="8" fillId="4" borderId="0" applyAlignment="1" pivotButton="0" quotePrefix="0" xfId="5">
      <alignment horizontal="right"/>
    </xf>
    <xf numFmtId="185" fontId="8" fillId="0" borderId="0" pivotButton="0" quotePrefix="0" xfId="12"/>
    <xf numFmtId="164" fontId="8" fillId="0" borderId="0" pivotButton="0" quotePrefix="0" xfId="0"/>
    <xf numFmtId="196" fontId="0" fillId="0" borderId="0" pivotButton="0" quotePrefix="0" xfId="0"/>
    <xf numFmtId="196" fontId="8" fillId="0" borderId="0" pivotButton="0" quotePrefix="0" xfId="0"/>
    <xf numFmtId="196" fontId="8" fillId="0" borderId="3" pivotButton="0" quotePrefix="0" xfId="0"/>
    <xf numFmtId="164" fontId="8" fillId="0" borderId="0" applyAlignment="1" pivotButton="0" quotePrefix="0" xfId="0">
      <alignment horizontal="center"/>
    </xf>
    <xf numFmtId="196" fontId="8" fillId="0" borderId="7" pivotButton="0" quotePrefix="0" xfId="0"/>
    <xf numFmtId="10" fontId="8" fillId="0" borderId="0" pivotButton="0" quotePrefix="0" xfId="14"/>
    <xf numFmtId="165" fontId="17" fillId="4" borderId="0" applyAlignment="1" pivotButton="0" quotePrefix="0" xfId="6">
      <alignment horizontal="centerContinuous"/>
    </xf>
    <xf numFmtId="0" fontId="14" fillId="0" borderId="0" applyAlignment="1" pivotButton="0" quotePrefix="0" xfId="15">
      <alignment horizontal="center"/>
    </xf>
    <xf numFmtId="0" fontId="8" fillId="0" borderId="0" pivotButton="0" quotePrefix="0" xfId="15"/>
    <xf numFmtId="0" fontId="17" fillId="0" borderId="0" applyAlignment="1" pivotButton="0" quotePrefix="0" xfId="15">
      <alignment horizontal="center"/>
    </xf>
    <xf numFmtId="14" fontId="8" fillId="0" borderId="14" applyAlignment="1" pivotButton="0" quotePrefix="0" xfId="15">
      <alignment horizontal="center"/>
    </xf>
    <xf numFmtId="0" fontId="8" fillId="0" borderId="14" applyAlignment="1" pivotButton="0" quotePrefix="0" xfId="15">
      <alignment horizontal="center"/>
    </xf>
    <xf numFmtId="196" fontId="8" fillId="0" borderId="14" pivotButton="0" quotePrefix="0" xfId="15"/>
    <xf numFmtId="3" fontId="8" fillId="0" borderId="14" applyAlignment="1" pivotButton="0" quotePrefix="0" xfId="15">
      <alignment horizontal="center"/>
    </xf>
    <xf numFmtId="197" fontId="8" fillId="0" borderId="14" pivotButton="0" quotePrefix="0" xfId="15"/>
    <xf numFmtId="196" fontId="8" fillId="0" borderId="0" pivotButton="0" quotePrefix="0" xfId="15"/>
    <xf numFmtId="0" fontId="14" fillId="0" borderId="14" applyAlignment="1" pivotButton="0" quotePrefix="0" xfId="15">
      <alignment horizontal="center"/>
    </xf>
    <xf numFmtId="196" fontId="14" fillId="0" borderId="14" pivotButton="0" quotePrefix="0" xfId="15"/>
    <xf numFmtId="197" fontId="14" fillId="0" borderId="14" pivotButton="0" quotePrefix="0" xfId="15"/>
    <xf numFmtId="196" fontId="14" fillId="0" borderId="0" pivotButton="0" quotePrefix="0" xfId="15"/>
    <xf numFmtId="0" fontId="14" fillId="0" borderId="0" pivotButton="0" quotePrefix="0" xfId="15"/>
    <xf numFmtId="0" fontId="8" fillId="0" borderId="0" applyAlignment="1" pivotButton="0" quotePrefix="0" xfId="15">
      <alignment horizontal="center"/>
    </xf>
    <xf numFmtId="3" fontId="8" fillId="0" borderId="0" applyAlignment="1" pivotButton="0" quotePrefix="0" xfId="15">
      <alignment horizontal="center"/>
    </xf>
    <xf numFmtId="197" fontId="8" fillId="0" borderId="0" pivotButton="0" quotePrefix="0" xfId="15"/>
    <xf numFmtId="165" fontId="17" fillId="4" borderId="0" applyAlignment="1" pivotButton="0" quotePrefix="0" xfId="6">
      <alignment horizontal="left"/>
    </xf>
    <xf numFmtId="0" fontId="14" fillId="4" borderId="0" pivotButton="0" quotePrefix="0" xfId="7"/>
    <xf numFmtId="194" fontId="8" fillId="4" borderId="5" applyAlignment="1" pivotButton="0" quotePrefix="0" xfId="8">
      <alignment horizontal="centerContinuous"/>
    </xf>
    <xf numFmtId="165" fontId="8" fillId="5" borderId="0" applyAlignment="1" pivotButton="0" quotePrefix="0" xfId="6">
      <alignment horizontal="left"/>
    </xf>
    <xf numFmtId="165" fontId="8" fillId="5" borderId="1" applyAlignment="1" pivotButton="0" quotePrefix="0" xfId="6">
      <alignment horizontal="left"/>
    </xf>
    <xf numFmtId="0" fontId="8" fillId="4" borderId="5" pivotButton="0" quotePrefix="0" xfId="7"/>
    <xf numFmtId="166" fontId="8" fillId="4" borderId="1" pivotButton="0" quotePrefix="0" xfId="8"/>
    <xf numFmtId="189" fontId="8" fillId="4" borderId="0" applyAlignment="1" pivotButton="0" quotePrefix="0" xfId="6">
      <alignment horizontal="left"/>
    </xf>
    <xf numFmtId="194" fontId="14" fillId="4" borderId="5" applyAlignment="1" pivotButton="0" quotePrefix="0" xfId="8">
      <alignment horizontal="center"/>
    </xf>
    <xf numFmtId="3" fontId="8" fillId="4" borderId="1" pivotButton="0" quotePrefix="0" xfId="8"/>
    <xf numFmtId="165" fontId="8" fillId="6" borderId="0" applyAlignment="1" pivotButton="0" quotePrefix="0" xfId="6">
      <alignment horizontal="left"/>
    </xf>
    <xf numFmtId="165" fontId="8" fillId="6" borderId="1" applyAlignment="1" pivotButton="0" quotePrefix="0" xfId="6">
      <alignment horizontal="left"/>
    </xf>
    <xf numFmtId="198" fontId="8" fillId="4" borderId="0" applyAlignment="1" pivotButton="0" quotePrefix="0" xfId="6">
      <alignment horizontal="left"/>
    </xf>
    <xf numFmtId="0" fontId="8" fillId="4" borderId="1" pivotButton="0" quotePrefix="0" xfId="7"/>
    <xf numFmtId="195" fontId="8" fillId="4" borderId="5" pivotButton="0" quotePrefix="0" xfId="7"/>
    <xf numFmtId="199" fontId="8" fillId="4" borderId="0" applyAlignment="1" pivotButton="0" quotePrefix="0" xfId="6">
      <alignment horizontal="left"/>
    </xf>
    <xf numFmtId="200" fontId="18" fillId="4" borderId="5" pivotButton="0" quotePrefix="0" xfId="8"/>
    <xf numFmtId="168" fontId="8" fillId="4" borderId="5" applyAlignment="1" pivotButton="0" quotePrefix="0" xfId="6">
      <alignment horizontal="left"/>
    </xf>
    <xf numFmtId="168" fontId="8" fillId="6" borderId="0" applyAlignment="1" pivotButton="0" quotePrefix="0" xfId="6">
      <alignment horizontal="left"/>
    </xf>
    <xf numFmtId="168" fontId="8" fillId="4" borderId="0" pivotButton="0" quotePrefix="0" xfId="9"/>
    <xf numFmtId="170" fontId="8" fillId="4" borderId="1" applyAlignment="1" pivotButton="0" quotePrefix="0" xfId="5">
      <alignment horizontal="left"/>
    </xf>
    <xf numFmtId="165" fontId="8" fillId="4" borderId="5" applyAlignment="1" pivotButton="0" quotePrefix="0" xfId="6">
      <alignment horizontal="left"/>
    </xf>
    <xf numFmtId="171" fontId="8" fillId="4" borderId="5" applyAlignment="1" pivotButton="0" quotePrefix="0" xfId="6">
      <alignment horizontal="left"/>
    </xf>
    <xf numFmtId="164" fontId="8" fillId="4" borderId="5" pivotButton="0" quotePrefix="0" xfId="9"/>
    <xf numFmtId="189" fontId="8" fillId="4" borderId="5" applyAlignment="1" pivotButton="0" quotePrefix="0" xfId="6">
      <alignment horizontal="right"/>
    </xf>
    <xf numFmtId="168" fontId="8" fillId="5" borderId="0" applyAlignment="1" pivotButton="0" quotePrefix="0" xfId="6">
      <alignment horizontal="left"/>
    </xf>
    <xf numFmtId="188" fontId="8" fillId="4" borderId="1" applyAlignment="1" pivotButton="0" quotePrefix="0" xfId="6">
      <alignment horizontal="left"/>
    </xf>
    <xf numFmtId="195" fontId="8" fillId="4" borderId="5" applyAlignment="1" pivotButton="0" quotePrefix="0" xfId="6">
      <alignment horizontal="left"/>
    </xf>
    <xf numFmtId="165" fontId="8" fillId="4" borderId="5" applyAlignment="1" pivotButton="0" quotePrefix="0" xfId="5">
      <alignment horizontal="left"/>
    </xf>
    <xf numFmtId="175" fontId="20" fillId="4" borderId="0" applyAlignment="1" pivotButton="0" quotePrefix="0" xfId="3">
      <alignment horizontal="right"/>
    </xf>
    <xf numFmtId="201" fontId="22" fillId="4" borderId="0" applyAlignment="1" pivotButton="0" quotePrefix="0" xfId="2">
      <alignment horizontal="left"/>
    </xf>
    <xf numFmtId="175" fontId="20" fillId="4" borderId="0" applyAlignment="1" pivotButton="0" quotePrefix="0" xfId="3">
      <alignment horizontal="left"/>
    </xf>
    <xf numFmtId="165" fontId="8" fillId="4" borderId="2" applyAlignment="1" pivotButton="0" quotePrefix="0" xfId="6">
      <alignment horizontal="left"/>
    </xf>
    <xf numFmtId="165" fontId="8" fillId="4" borderId="3" applyAlignment="1" pivotButton="0" quotePrefix="0" xfId="6">
      <alignment horizontal="left"/>
    </xf>
    <xf numFmtId="165" fontId="8" fillId="4" borderId="4" applyAlignment="1" pivotButton="0" quotePrefix="0" xfId="6">
      <alignment horizontal="left"/>
    </xf>
    <xf numFmtId="49" fontId="8" fillId="4" borderId="5" applyAlignment="1" pivotButton="0" quotePrefix="0" xfId="5">
      <alignment horizontal="left"/>
    </xf>
    <xf numFmtId="199" fontId="8" fillId="4" borderId="0" applyAlignment="1" pivotButton="0" quotePrefix="1" xfId="5">
      <alignment horizontal="left"/>
    </xf>
    <xf numFmtId="182" fontId="23" fillId="4" borderId="0" applyAlignment="1" pivotButton="0" quotePrefix="1" xfId="1">
      <alignment horizontal="centerContinuous"/>
    </xf>
    <xf numFmtId="0" fontId="8" fillId="4" borderId="0" applyAlignment="1" pivotButton="0" quotePrefix="0" xfId="7">
      <alignment horizontal="centerContinuous"/>
    </xf>
    <xf numFmtId="176" fontId="23" fillId="4" borderId="0" applyAlignment="1" pivotButton="0" quotePrefix="1" xfId="1">
      <alignment horizontal="centerContinuous"/>
    </xf>
    <xf numFmtId="177" fontId="8" fillId="4" borderId="1" applyAlignment="1" pivotButton="0" quotePrefix="1" xfId="5">
      <alignment horizontal="right"/>
    </xf>
    <xf numFmtId="178" fontId="20" fillId="4" borderId="0" applyAlignment="1" pivotButton="0" quotePrefix="1" xfId="5">
      <alignment horizontal="left"/>
    </xf>
    <xf numFmtId="165" fontId="14" fillId="4" borderId="0" applyAlignment="1" pivotButton="0" quotePrefix="0" xfId="10">
      <alignment horizontal="right"/>
    </xf>
    <xf numFmtId="177" fontId="17" fillId="4" borderId="1" applyAlignment="1" pivotButton="0" quotePrefix="1" xfId="5">
      <alignment horizontal="right"/>
    </xf>
    <xf numFmtId="164" fontId="8" fillId="4" borderId="6" applyAlignment="1" pivotButton="0" quotePrefix="0" xfId="9">
      <alignment horizontal="left"/>
    </xf>
    <xf numFmtId="170" fontId="8" fillId="4" borderId="7" applyAlignment="1" pivotButton="0" quotePrefix="0" xfId="5">
      <alignment horizontal="left"/>
    </xf>
    <xf numFmtId="165" fontId="8" fillId="4" borderId="7" applyAlignment="1" pivotButton="0" quotePrefix="0" xfId="6">
      <alignment horizontal="left"/>
    </xf>
    <xf numFmtId="179" fontId="19" fillId="4" borderId="8" applyAlignment="1" pivotButton="0" quotePrefix="0" xfId="6">
      <alignment horizontal="right"/>
    </xf>
    <xf numFmtId="178" fontId="20" fillId="4" borderId="0" applyAlignment="1" pivotButton="0" quotePrefix="0" xfId="6">
      <alignment horizontal="left"/>
    </xf>
    <xf numFmtId="174" fontId="22" fillId="4" borderId="0" applyAlignment="1" pivotButton="0" quotePrefix="0" xfId="2">
      <alignment horizontal="left"/>
    </xf>
    <xf numFmtId="164" fontId="20" fillId="4" borderId="0" applyAlignment="1" pivotButton="0" quotePrefix="0" xfId="9">
      <alignment horizontal="left"/>
    </xf>
    <xf numFmtId="0" fontId="8" fillId="0" borderId="16" applyAlignment="1" pivotButton="0" quotePrefix="0" xfId="15">
      <alignment horizontal="center"/>
    </xf>
    <xf numFmtId="14" fontId="8" fillId="0" borderId="16" applyAlignment="1" pivotButton="0" quotePrefix="0" xfId="15">
      <alignment horizontal="center"/>
    </xf>
    <xf numFmtId="196" fontId="8" fillId="0" borderId="16" pivotButton="0" quotePrefix="0" xfId="15"/>
    <xf numFmtId="3" fontId="8" fillId="0" borderId="16" applyAlignment="1" pivotButton="0" quotePrefix="0" xfId="15">
      <alignment horizontal="center"/>
    </xf>
    <xf numFmtId="197" fontId="8" fillId="0" borderId="16" pivotButton="0" quotePrefix="0" xfId="15"/>
    <xf numFmtId="3" fontId="14" fillId="0" borderId="14" applyAlignment="1" pivotButton="0" quotePrefix="0" xfId="15">
      <alignment horizontal="center"/>
    </xf>
    <xf numFmtId="0" fontId="8" fillId="0" borderId="7" applyAlignment="1" pivotButton="0" quotePrefix="0" xfId="15">
      <alignment wrapText="1"/>
    </xf>
    <xf numFmtId="0" fontId="14" fillId="7" borderId="16" applyAlignment="1" pivotButton="0" quotePrefix="0" xfId="15">
      <alignment horizontal="center" wrapText="1"/>
    </xf>
    <xf numFmtId="196" fontId="30" fillId="0" borderId="14" pivotButton="0" quotePrefix="0" xfId="15"/>
    <xf numFmtId="3" fontId="30" fillId="0" borderId="14" applyAlignment="1" pivotButton="0" quotePrefix="0" xfId="15">
      <alignment horizontal="center"/>
    </xf>
    <xf numFmtId="197" fontId="30" fillId="0" borderId="14" pivotButton="0" quotePrefix="0" xfId="15"/>
    <xf numFmtId="0" fontId="8" fillId="4" borderId="14" applyAlignment="1" pivotButton="0" quotePrefix="0" xfId="15">
      <alignment horizontal="center"/>
    </xf>
    <xf numFmtId="165" fontId="8" fillId="4" borderId="14" applyAlignment="1" pivotButton="0" quotePrefix="0" xfId="4">
      <alignment horizontal="center" wrapText="1"/>
    </xf>
    <xf numFmtId="165" fontId="8" fillId="4" borderId="14" applyAlignment="1" pivotButton="0" quotePrefix="0" xfId="4">
      <alignment horizontal="center"/>
    </xf>
    <xf numFmtId="196" fontId="8" fillId="4" borderId="14" pivotButton="0" quotePrefix="0" xfId="15"/>
    <xf numFmtId="3" fontId="8" fillId="4" borderId="14" applyAlignment="1" pivotButton="0" quotePrefix="0" xfId="15">
      <alignment horizontal="center"/>
    </xf>
    <xf numFmtId="197" fontId="8" fillId="4" borderId="14" pivotButton="0" quotePrefix="0" xfId="15"/>
    <xf numFmtId="14" fontId="8" fillId="4" borderId="14" applyAlignment="1" pivotButton="0" quotePrefix="0" xfId="15">
      <alignment horizontal="center"/>
    </xf>
    <xf numFmtId="165" fontId="6" fillId="4" borderId="14" applyAlignment="1" pivotButton="0" quotePrefix="0" xfId="4">
      <alignment horizontal="center"/>
    </xf>
    <xf numFmtId="0" fontId="14" fillId="4" borderId="14" applyAlignment="1" pivotButton="0" quotePrefix="0" xfId="15">
      <alignment horizontal="center"/>
    </xf>
    <xf numFmtId="196" fontId="14" fillId="4" borderId="14" pivotButton="0" quotePrefix="0" xfId="15"/>
    <xf numFmtId="3" fontId="14" fillId="4" borderId="14" applyAlignment="1" pivotButton="0" quotePrefix="0" xfId="15">
      <alignment horizontal="center"/>
    </xf>
    <xf numFmtId="197" fontId="14" fillId="4" borderId="14" pivotButton="0" quotePrefix="0" xfId="15"/>
    <xf numFmtId="14" fontId="14" fillId="4" borderId="14" applyAlignment="1" pivotButton="0" quotePrefix="0" xfId="15">
      <alignment horizontal="center"/>
    </xf>
    <xf numFmtId="185" fontId="8" fillId="0" borderId="0" applyAlignment="1" pivotButton="0" quotePrefix="0" xfId="6">
      <alignment horizontal="right"/>
    </xf>
    <xf numFmtId="187" fontId="8" fillId="0" borderId="0" applyAlignment="1" pivotButton="0" quotePrefix="0" xfId="1">
      <alignment horizontal="right"/>
    </xf>
    <xf numFmtId="165" fontId="8" fillId="0" borderId="0" applyAlignment="1" pivotButton="0" quotePrefix="0" xfId="6">
      <alignment horizontal="right"/>
    </xf>
    <xf numFmtId="166" fontId="8" fillId="0" borderId="0" applyAlignment="1" pivotButton="0" quotePrefix="0" xfId="6">
      <alignment horizontal="right"/>
    </xf>
    <xf numFmtId="169" fontId="8" fillId="0" borderId="0" applyAlignment="1" pivotButton="0" quotePrefix="0" xfId="3">
      <alignment horizontal="right"/>
    </xf>
    <xf numFmtId="169" fontId="19" fillId="0" borderId="0" applyAlignment="1" pivotButton="0" quotePrefix="0" xfId="3">
      <alignment horizontal="right"/>
    </xf>
    <xf numFmtId="175" fontId="8" fillId="0" borderId="0" pivotButton="0" quotePrefix="0" xfId="3"/>
    <xf numFmtId="43" fontId="8" fillId="0" borderId="0" pivotButton="0" quotePrefix="0" xfId="1"/>
    <xf numFmtId="43" fontId="8" fillId="0" borderId="0" pivotButton="0" quotePrefix="0" xfId="15"/>
    <xf numFmtId="9" fontId="8" fillId="0" borderId="0" pivotButton="0" quotePrefix="0" xfId="3"/>
    <xf numFmtId="0" fontId="14" fillId="7" borderId="16" applyAlignment="1" pivotButton="0" quotePrefix="0" xfId="16">
      <alignment horizontal="center" wrapText="1"/>
    </xf>
    <xf numFmtId="0" fontId="8" fillId="0" borderId="7" applyAlignment="1" pivotButton="0" quotePrefix="0" xfId="16">
      <alignment wrapText="1"/>
    </xf>
    <xf numFmtId="0" fontId="8" fillId="0" borderId="14" applyAlignment="1" pivotButton="0" quotePrefix="0" xfId="16">
      <alignment horizontal="center"/>
    </xf>
    <xf numFmtId="196" fontId="8" fillId="0" borderId="14" pivotButton="0" quotePrefix="0" xfId="16"/>
    <xf numFmtId="3" fontId="8" fillId="0" borderId="14" applyAlignment="1" pivotButton="0" quotePrefix="0" xfId="16">
      <alignment horizontal="center"/>
    </xf>
    <xf numFmtId="197" fontId="8" fillId="0" borderId="14" pivotButton="0" quotePrefix="0" xfId="16"/>
    <xf numFmtId="10" fontId="8" fillId="0" borderId="14" pivotButton="0" quotePrefix="0" xfId="3"/>
    <xf numFmtId="0" fontId="8" fillId="0" borderId="0" pivotButton="0" quotePrefix="0" xfId="16"/>
    <xf numFmtId="43" fontId="8" fillId="0" borderId="0" pivotButton="0" quotePrefix="0" xfId="16"/>
    <xf numFmtId="0" fontId="8" fillId="0" borderId="16" applyAlignment="1" pivotButton="0" quotePrefix="0" xfId="16">
      <alignment horizontal="center"/>
    </xf>
    <xf numFmtId="196" fontId="8" fillId="0" borderId="16" pivotButton="0" quotePrefix="0" xfId="16"/>
    <xf numFmtId="3" fontId="8" fillId="0" borderId="16" applyAlignment="1" pivotButton="0" quotePrefix="0" xfId="16">
      <alignment horizontal="center"/>
    </xf>
    <xf numFmtId="197" fontId="8" fillId="0" borderId="16" pivotButton="0" quotePrefix="0" xfId="16"/>
    <xf numFmtId="197" fontId="8" fillId="0" borderId="14" applyAlignment="1" pivotButton="0" quotePrefix="0" xfId="16">
      <alignment horizontal="right"/>
    </xf>
    <xf numFmtId="10" fontId="8" fillId="0" borderId="14" applyAlignment="1" pivotButton="0" quotePrefix="0" xfId="3">
      <alignment horizontal="right"/>
    </xf>
    <xf numFmtId="0" fontId="14" fillId="0" borderId="0" pivotButton="0" quotePrefix="0" xfId="16"/>
    <xf numFmtId="0" fontId="14" fillId="0" borderId="14" applyAlignment="1" pivotButton="0" quotePrefix="0" xfId="16">
      <alignment horizontal="center"/>
    </xf>
    <xf numFmtId="196" fontId="30" fillId="0" borderId="14" pivotButton="0" quotePrefix="0" xfId="16"/>
    <xf numFmtId="3" fontId="30" fillId="0" borderId="14" applyAlignment="1" pivotButton="0" quotePrefix="0" xfId="16">
      <alignment horizontal="center"/>
    </xf>
    <xf numFmtId="197" fontId="14" fillId="0" borderId="14" pivotButton="0" quotePrefix="0" xfId="16"/>
    <xf numFmtId="10" fontId="14" fillId="0" borderId="14" pivotButton="0" quotePrefix="0" xfId="3"/>
    <xf numFmtId="197" fontId="30" fillId="0" borderId="14" pivotButton="0" quotePrefix="0" xfId="16"/>
    <xf numFmtId="10" fontId="8" fillId="0" borderId="16" pivotButton="0" quotePrefix="0" xfId="3"/>
    <xf numFmtId="0" fontId="8" fillId="0" borderId="0" applyAlignment="1" pivotButton="0" quotePrefix="0" xfId="16">
      <alignment horizontal="center"/>
    </xf>
    <xf numFmtId="196" fontId="14" fillId="0" borderId="14" pivotButton="0" quotePrefix="0" xfId="16"/>
    <xf numFmtId="3" fontId="14" fillId="0" borderId="14" applyAlignment="1" pivotButton="0" quotePrefix="0" xfId="16">
      <alignment horizontal="center"/>
    </xf>
    <xf numFmtId="196" fontId="8" fillId="0" borderId="0" pivotButton="0" quotePrefix="0" xfId="16"/>
    <xf numFmtId="165" fontId="8" fillId="0" borderId="0" applyAlignment="1" pivotButton="0" quotePrefix="0" xfId="5">
      <alignment horizontal="right"/>
    </xf>
    <xf numFmtId="165" fontId="8" fillId="0" borderId="0" applyAlignment="1" pivotButton="0" quotePrefix="0" xfId="6">
      <alignment horizontal="centerContinuous" wrapText="1"/>
    </xf>
    <xf numFmtId="180" fontId="8" fillId="0" borderId="1" applyAlignment="1" pivotButton="0" quotePrefix="0" xfId="1">
      <alignment horizontal="right"/>
    </xf>
    <xf numFmtId="0" fontId="33" fillId="0" borderId="0" pivotButton="0" quotePrefix="0" xfId="14"/>
    <xf numFmtId="164" fontId="34" fillId="0" borderId="17" applyAlignment="1" pivotButton="0" quotePrefix="0" xfId="0">
      <alignment horizontal="center" vertical="center" wrapText="1"/>
    </xf>
    <xf numFmtId="14" fontId="36" fillId="0" borderId="17" applyAlignment="1" pivotButton="0" quotePrefix="0" xfId="0">
      <alignment horizontal="center" vertical="center"/>
    </xf>
    <xf numFmtId="193" fontId="35" fillId="7" borderId="19" applyAlignment="1" pivotButton="0" quotePrefix="0" xfId="3">
      <alignment vertical="center" wrapText="1"/>
    </xf>
    <xf numFmtId="193" fontId="35" fillId="0" borderId="19" applyAlignment="1" pivotButton="0" quotePrefix="0" xfId="3">
      <alignment vertical="center" wrapText="1"/>
    </xf>
    <xf numFmtId="164" fontId="34" fillId="7" borderId="19" applyAlignment="1" pivotButton="0" quotePrefix="0" xfId="0">
      <alignment horizontal="center" vertical="center" wrapText="1"/>
    </xf>
    <xf numFmtId="164" fontId="34" fillId="0" borderId="19" applyAlignment="1" pivotButton="0" quotePrefix="0" xfId="0">
      <alignment horizontal="center" vertical="center" wrapText="1"/>
    </xf>
    <xf numFmtId="164" fontId="34" fillId="4" borderId="19" applyAlignment="1" pivotButton="0" quotePrefix="0" xfId="0">
      <alignment horizontal="center" vertical="center" wrapText="1"/>
    </xf>
    <xf numFmtId="193" fontId="35" fillId="4" borderId="19" applyAlignment="1" pivotButton="0" quotePrefix="0" xfId="3">
      <alignment vertical="center" wrapText="1"/>
    </xf>
    <xf numFmtId="9" fontId="8" fillId="0" borderId="14" pivotButton="0" quotePrefix="0" xfId="3"/>
    <xf numFmtId="165" fontId="8" fillId="0" borderId="0" pivotButton="0" quotePrefix="0" xfId="0"/>
    <xf numFmtId="164" fontId="8" fillId="0" borderId="0" pivotButton="0" quotePrefix="0" xfId="17"/>
    <xf numFmtId="202" fontId="8" fillId="0" borderId="0" pivotButton="0" quotePrefix="0" xfId="17"/>
    <xf numFmtId="164" fontId="4" fillId="0" borderId="0" pivotButton="0" quotePrefix="0" xfId="17"/>
    <xf numFmtId="202" fontId="8" fillId="0" borderId="0" applyAlignment="1" pivotButton="0" quotePrefix="1" xfId="17">
      <alignment horizontal="center"/>
    </xf>
    <xf numFmtId="164" fontId="4" fillId="0" borderId="0" pivotButton="0" quotePrefix="0" xfId="18"/>
    <xf numFmtId="3" fontId="4" fillId="0" borderId="0" pivotButton="0" quotePrefix="0" xfId="18"/>
    <xf numFmtId="0" fontId="8" fillId="0" borderId="7" pivotButton="0" quotePrefix="0" xfId="14"/>
    <xf numFmtId="0" fontId="8" fillId="0" borderId="3" pivotButton="0" quotePrefix="0" xfId="14"/>
    <xf numFmtId="164" fontId="8" fillId="0" borderId="0" pivotButton="0" quotePrefix="0" xfId="19"/>
    <xf numFmtId="164" fontId="39" fillId="8" borderId="22" applyAlignment="1" pivotButton="0" quotePrefix="0" xfId="19">
      <alignment horizontal="centerContinuous"/>
    </xf>
    <xf numFmtId="164" fontId="8" fillId="8" borderId="23" applyAlignment="1" pivotButton="0" quotePrefix="0" xfId="19">
      <alignment horizontal="centerContinuous"/>
    </xf>
    <xf numFmtId="164" fontId="8" fillId="8" borderId="24" applyAlignment="1" pivotButton="0" quotePrefix="0" xfId="19">
      <alignment horizontal="centerContinuous"/>
    </xf>
    <xf numFmtId="164" fontId="38" fillId="8" borderId="25" applyAlignment="1" pivotButton="0" quotePrefix="0" xfId="19">
      <alignment horizontal="centerContinuous"/>
    </xf>
    <xf numFmtId="164" fontId="8" fillId="8" borderId="7" applyAlignment="1" pivotButton="0" quotePrefix="0" xfId="19">
      <alignment horizontal="centerContinuous"/>
    </xf>
    <xf numFmtId="164" fontId="8" fillId="8" borderId="26" applyAlignment="1" pivotButton="0" quotePrefix="0" xfId="19">
      <alignment horizontal="centerContinuous"/>
    </xf>
    <xf numFmtId="164" fontId="8" fillId="8" borderId="27" pivotButton="0" quotePrefix="0" xfId="20"/>
    <xf numFmtId="164" fontId="39" fillId="0" borderId="8" applyAlignment="1" pivotButton="0" quotePrefix="0" xfId="20">
      <alignment horizontal="center"/>
    </xf>
    <xf numFmtId="164" fontId="14" fillId="0" borderId="26" applyAlignment="1" pivotButton="0" quotePrefix="0" xfId="20">
      <alignment horizontal="center"/>
    </xf>
    <xf numFmtId="164" fontId="8" fillId="0" borderId="28" pivotButton="0" quotePrefix="0" xfId="20"/>
    <xf numFmtId="166" fontId="8" fillId="0" borderId="1" pivotButton="0" quotePrefix="0" xfId="21"/>
    <xf numFmtId="10" fontId="8" fillId="0" borderId="29" pivotButton="0" quotePrefix="0" xfId="3"/>
    <xf numFmtId="164" fontId="13" fillId="0" borderId="28" pivotButton="0" quotePrefix="0" xfId="20"/>
    <xf numFmtId="164" fontId="14" fillId="0" borderId="30" pivotButton="0" quotePrefix="0" xfId="21"/>
    <xf numFmtId="166" fontId="14" fillId="0" borderId="31" pivotButton="0" quotePrefix="0" xfId="21"/>
    <xf numFmtId="10" fontId="14" fillId="0" borderId="32" pivotButton="0" quotePrefix="0" xfId="3"/>
    <xf numFmtId="0" fontId="1" fillId="0" borderId="0" pivotButton="0" quotePrefix="0" xfId="22"/>
    <xf numFmtId="197" fontId="1" fillId="0" borderId="0" pivotButton="0" quotePrefix="0" xfId="22"/>
    <xf numFmtId="0" fontId="41" fillId="0" borderId="0" applyAlignment="1" pivotButton="0" quotePrefix="0" xfId="22">
      <alignment horizontal="center"/>
    </xf>
    <xf numFmtId="14" fontId="36" fillId="0" borderId="19" applyAlignment="1" pivotButton="0" quotePrefix="0" xfId="0">
      <alignment horizontal="center" vertical="center"/>
    </xf>
    <xf numFmtId="0" fontId="19" fillId="0" borderId="0" applyAlignment="1" pivotButton="0" quotePrefix="0" xfId="14">
      <alignment horizontal="center"/>
    </xf>
    <xf numFmtId="164" fontId="8" fillId="0" borderId="14" pivotButton="0" quotePrefix="0" xfId="0"/>
    <xf numFmtId="196" fontId="8" fillId="0" borderId="14" pivotButton="0" quotePrefix="0" xfId="0"/>
    <xf numFmtId="164" fontId="14" fillId="0" borderId="14" applyAlignment="1" pivotButton="0" quotePrefix="0" xfId="0">
      <alignment horizontal="center" wrapText="1"/>
    </xf>
    <xf numFmtId="9" fontId="8" fillId="0" borderId="14" applyAlignment="1" pivotButton="0" quotePrefix="0" xfId="3">
      <alignment horizontal="center"/>
    </xf>
    <xf numFmtId="196" fontId="14" fillId="0" borderId="8" pivotButton="0" quotePrefix="0" xfId="0"/>
    <xf numFmtId="164" fontId="14" fillId="0" borderId="14" applyAlignment="1" pivotButton="0" quotePrefix="0" xfId="0">
      <alignment horizontal="left"/>
    </xf>
    <xf numFmtId="164" fontId="14" fillId="0" borderId="20" applyAlignment="1" pivotButton="0" quotePrefix="0" xfId="0">
      <alignment horizontal="left"/>
    </xf>
    <xf numFmtId="196" fontId="42" fillId="0" borderId="18" pivotButton="0" quotePrefix="0" xfId="0"/>
    <xf numFmtId="196" fontId="42" fillId="0" borderId="21" pivotButton="0" quotePrefix="0" xfId="0"/>
    <xf numFmtId="164" fontId="14" fillId="0" borderId="18" applyAlignment="1" pivotButton="0" quotePrefix="0" xfId="0">
      <alignment horizontal="right"/>
    </xf>
    <xf numFmtId="196" fontId="14" fillId="0" borderId="14" pivotButton="0" quotePrefix="0" xfId="0"/>
    <xf numFmtId="175" fontId="8" fillId="0" borderId="0" pivotButton="0" quotePrefix="0" xfId="14"/>
    <xf numFmtId="164" fontId="44" fillId="0" borderId="0" pivotButton="0" quotePrefix="0" xfId="0"/>
    <xf numFmtId="197" fontId="8" fillId="0" borderId="17" applyAlignment="1" pivotButton="0" quotePrefix="0" xfId="0">
      <alignment horizontal="center"/>
    </xf>
    <xf numFmtId="197" fontId="8" fillId="0" borderId="19" applyAlignment="1" pivotButton="0" quotePrefix="0" xfId="0">
      <alignment horizontal="center"/>
    </xf>
    <xf numFmtId="165" fontId="8" fillId="0" borderId="19" applyAlignment="1" pivotButton="0" quotePrefix="0" xfId="0">
      <alignment horizontal="center"/>
    </xf>
    <xf numFmtId="165" fontId="8" fillId="0" borderId="16" applyAlignment="1" pivotButton="0" quotePrefix="0" xfId="0">
      <alignment horizontal="center"/>
    </xf>
    <xf numFmtId="164" fontId="14" fillId="0" borderId="14" applyAlignment="1" pivotButton="0" quotePrefix="0" xfId="0">
      <alignment horizontal="center"/>
    </xf>
    <xf numFmtId="0" fontId="16" fillId="0" borderId="34" applyAlignment="1" pivotButton="0" quotePrefix="0" xfId="14">
      <alignment horizontal="centerContinuous"/>
    </xf>
    <xf numFmtId="0" fontId="16" fillId="0" borderId="35" applyAlignment="1" pivotButton="0" quotePrefix="0" xfId="14">
      <alignment horizontal="centerContinuous"/>
    </xf>
    <xf numFmtId="0" fontId="8" fillId="0" borderId="36" pivotButton="0" quotePrefix="0" xfId="14"/>
    <xf numFmtId="9" fontId="8" fillId="0" borderId="3" pivotButton="0" quotePrefix="0" xfId="14"/>
    <xf numFmtId="0" fontId="8" fillId="0" borderId="37" pivotButton="0" quotePrefix="0" xfId="14"/>
    <xf numFmtId="164" fontId="43" fillId="0" borderId="14" applyAlignment="1" pivotButton="0" quotePrefix="0" xfId="0">
      <alignment horizontal="center" wrapText="1"/>
    </xf>
    <xf numFmtId="0" fontId="14" fillId="0" borderId="14" applyAlignment="1" pivotButton="0" quotePrefix="0" xfId="14">
      <alignment horizontal="center" wrapText="1"/>
    </xf>
    <xf numFmtId="0" fontId="8" fillId="0" borderId="38" pivotButton="0" quotePrefix="0" xfId="14"/>
    <xf numFmtId="0" fontId="8" fillId="0" borderId="29" pivotButton="0" quotePrefix="0" xfId="14"/>
    <xf numFmtId="0" fontId="8" fillId="0" borderId="14" applyAlignment="1" pivotButton="0" quotePrefix="1" xfId="14">
      <alignment horizontal="center" vertical="center"/>
    </xf>
    <xf numFmtId="10" fontId="8" fillId="0" borderId="14" applyAlignment="1" pivotButton="0" quotePrefix="0" xfId="14">
      <alignment horizontal="center" vertical="center"/>
    </xf>
    <xf numFmtId="0" fontId="8" fillId="0" borderId="38" applyAlignment="1" pivotButton="0" quotePrefix="1" xfId="14">
      <alignment horizontal="left"/>
    </xf>
    <xf numFmtId="0" fontId="8" fillId="0" borderId="38" applyAlignment="1" pivotButton="0" quotePrefix="0" xfId="14">
      <alignment horizontal="centerContinuous"/>
    </xf>
    <xf numFmtId="0" fontId="8" fillId="0" borderId="29" applyAlignment="1" pivotButton="0" quotePrefix="0" xfId="14">
      <alignment horizontal="centerContinuous"/>
    </xf>
    <xf numFmtId="0" fontId="8" fillId="0" borderId="38" applyAlignment="1" pivotButton="0" quotePrefix="0" xfId="14">
      <alignment horizontal="center"/>
    </xf>
    <xf numFmtId="9" fontId="8" fillId="0" borderId="38" applyAlignment="1" pivotButton="0" quotePrefix="0" xfId="14">
      <alignment horizontal="center"/>
    </xf>
    <xf numFmtId="192" fontId="8" fillId="0" borderId="29" pivotButton="0" quotePrefix="0" xfId="14"/>
    <xf numFmtId="192" fontId="19" fillId="0" borderId="29" pivotButton="0" quotePrefix="0" xfId="14"/>
    <xf numFmtId="0" fontId="13" fillId="0" borderId="38" pivotButton="0" quotePrefix="0" xfId="14"/>
    <xf numFmtId="0" fontId="6" fillId="0" borderId="0" applyAlignment="1" pivotButton="0" quotePrefix="0" xfId="14">
      <alignment horizontal="centerContinuous"/>
    </xf>
    <xf numFmtId="0" fontId="14" fillId="0" borderId="0" applyAlignment="1" pivotButton="0" quotePrefix="0" xfId="14">
      <alignment horizontal="right"/>
    </xf>
    <xf numFmtId="10" fontId="27" fillId="0" borderId="29" pivotButton="0" quotePrefix="0" xfId="14"/>
    <xf numFmtId="0" fontId="8" fillId="0" borderId="25" pivotButton="0" quotePrefix="0" xfId="14"/>
    <xf numFmtId="192" fontId="8" fillId="0" borderId="26" pivotButton="0" quotePrefix="0" xfId="14"/>
    <xf numFmtId="164" fontId="4" fillId="0" borderId="39" pivotButton="0" quotePrefix="0" xfId="18"/>
    <xf numFmtId="164" fontId="44" fillId="0" borderId="40" pivotButton="0" quotePrefix="0" xfId="18"/>
    <xf numFmtId="164" fontId="44" fillId="0" borderId="32" pivotButton="0" quotePrefix="0" xfId="18"/>
    <xf numFmtId="164" fontId="44" fillId="0" borderId="0" pivotButton="0" quotePrefix="0" xfId="18"/>
    <xf numFmtId="9" fontId="8" fillId="0" borderId="0" applyAlignment="1" pivotButton="0" quotePrefix="0" xfId="14">
      <alignment horizontal="center"/>
    </xf>
    <xf numFmtId="193" fontId="14" fillId="0" borderId="0" pivotButton="0" quotePrefix="0" xfId="23"/>
    <xf numFmtId="164" fontId="43" fillId="0" borderId="5" applyAlignment="1" pivotButton="0" quotePrefix="0" xfId="18">
      <alignment horizontal="center"/>
    </xf>
    <xf numFmtId="164" fontId="43" fillId="0" borderId="0" applyAlignment="1" pivotButton="0" quotePrefix="0" xfId="18">
      <alignment horizontal="center"/>
    </xf>
    <xf numFmtId="164" fontId="43" fillId="0" borderId="1" applyAlignment="1" pivotButton="0" quotePrefix="0" xfId="18">
      <alignment horizontal="center"/>
    </xf>
    <xf numFmtId="164" fontId="44" fillId="0" borderId="5" applyAlignment="1" pivotButton="0" quotePrefix="0" xfId="18">
      <alignment horizontal="center"/>
    </xf>
    <xf numFmtId="164" fontId="44" fillId="0" borderId="0" applyAlignment="1" pivotButton="0" quotePrefix="0" xfId="18">
      <alignment horizontal="center"/>
    </xf>
    <xf numFmtId="192" fontId="44" fillId="0" borderId="0" applyAlignment="1" pivotButton="0" quotePrefix="0" xfId="18">
      <alignment horizontal="center"/>
    </xf>
    <xf numFmtId="9" fontId="44" fillId="0" borderId="0" applyAlignment="1" pivotButton="0" quotePrefix="0" xfId="18">
      <alignment horizontal="center"/>
    </xf>
    <xf numFmtId="164" fontId="44" fillId="0" borderId="1" applyAlignment="1" pivotButton="0" quotePrefix="0" xfId="18">
      <alignment horizontal="center"/>
    </xf>
    <xf numFmtId="164" fontId="44" fillId="0" borderId="5" pivotButton="0" quotePrefix="0" xfId="18"/>
    <xf numFmtId="192" fontId="14" fillId="0" borderId="1" applyAlignment="1" pivotButton="0" quotePrefix="0" xfId="14">
      <alignment horizontal="center"/>
    </xf>
    <xf numFmtId="164" fontId="44" fillId="0" borderId="6" pivotButton="0" quotePrefix="0" xfId="18"/>
    <xf numFmtId="164" fontId="44" fillId="0" borderId="7" pivotButton="0" quotePrefix="0" xfId="18"/>
    <xf numFmtId="0" fontId="14" fillId="0" borderId="7" applyAlignment="1" pivotButton="0" quotePrefix="0" xfId="14">
      <alignment horizontal="right"/>
    </xf>
    <xf numFmtId="10" fontId="27" fillId="0" borderId="8" applyAlignment="1" pivotButton="0" quotePrefix="0" xfId="14">
      <alignment horizontal="right"/>
    </xf>
    <xf numFmtId="164" fontId="43" fillId="0" borderId="5" applyAlignment="1" pivotButton="0" quotePrefix="0" xfId="18">
      <alignment horizontal="center" wrapText="1"/>
    </xf>
    <xf numFmtId="164" fontId="43" fillId="0" borderId="0" applyAlignment="1" pivotButton="0" quotePrefix="0" xfId="18">
      <alignment horizontal="center" wrapText="1"/>
    </xf>
    <xf numFmtId="164" fontId="43" fillId="0" borderId="0" applyAlignment="1" pivotButton="0" quotePrefix="1" xfId="18">
      <alignment horizontal="center" wrapText="1"/>
    </xf>
    <xf numFmtId="193" fontId="44" fillId="0" borderId="5" applyAlignment="1" pivotButton="0" quotePrefix="0" xfId="23">
      <alignment horizontal="center"/>
    </xf>
    <xf numFmtId="10" fontId="44" fillId="0" borderId="0" applyAlignment="1" pivotButton="0" quotePrefix="0" xfId="23">
      <alignment horizontal="center"/>
    </xf>
    <xf numFmtId="164" fontId="44" fillId="0" borderId="1" pivotButton="0" quotePrefix="0" xfId="18"/>
    <xf numFmtId="192" fontId="44" fillId="0" borderId="5" applyAlignment="1" pivotButton="0" quotePrefix="0" xfId="18">
      <alignment horizontal="center"/>
    </xf>
    <xf numFmtId="193" fontId="44" fillId="0" borderId="0" applyAlignment="1" pivotButton="0" quotePrefix="0" xfId="23">
      <alignment horizontal="center"/>
    </xf>
    <xf numFmtId="10" fontId="27" fillId="0" borderId="8" applyAlignment="1" pivotButton="0" quotePrefix="0" xfId="14">
      <alignment horizontal="center"/>
    </xf>
    <xf numFmtId="0" fontId="8" fillId="0" borderId="0" pivotButton="0" quotePrefix="1" xfId="14"/>
    <xf numFmtId="0" fontId="16" fillId="0" borderId="33" applyAlignment="1" pivotButton="0" quotePrefix="0" xfId="14">
      <alignment horizontal="centerContinuous"/>
    </xf>
    <xf numFmtId="0" fontId="8" fillId="0" borderId="5" pivotButton="0" quotePrefix="0" xfId="12"/>
    <xf numFmtId="0" fontId="8" fillId="0" borderId="0" pivotButton="0" quotePrefix="0" xfId="12"/>
    <xf numFmtId="0" fontId="8" fillId="0" borderId="1" pivotButton="0" quotePrefix="0" xfId="12"/>
    <xf numFmtId="3" fontId="8" fillId="0" borderId="0" pivotButton="0" quotePrefix="0" xfId="12"/>
    <xf numFmtId="0" fontId="8" fillId="0" borderId="0" applyAlignment="1" pivotButton="0" quotePrefix="0" xfId="12">
      <alignment horizontal="left"/>
    </xf>
    <xf numFmtId="200" fontId="8" fillId="0" borderId="0" pivotButton="0" quotePrefix="0" xfId="12"/>
    <xf numFmtId="166" fontId="8" fillId="0" borderId="1" applyAlignment="1" pivotButton="0" quotePrefix="0" xfId="12">
      <alignment horizontal="right"/>
    </xf>
    <xf numFmtId="3" fontId="8" fillId="0" borderId="5" pivotButton="0" quotePrefix="0" xfId="12"/>
    <xf numFmtId="0" fontId="8" fillId="0" borderId="5" applyAlignment="1" pivotButton="0" quotePrefix="1" xfId="12">
      <alignment horizontal="left"/>
    </xf>
    <xf numFmtId="166" fontId="19" fillId="0" borderId="1" applyAlignment="1" pivotButton="0" quotePrefix="0" xfId="12">
      <alignment horizontal="right"/>
    </xf>
    <xf numFmtId="0" fontId="8" fillId="0" borderId="5" pivotButton="0" quotePrefix="0" xfId="13"/>
    <xf numFmtId="0" fontId="19" fillId="0" borderId="0" pivotButton="0" quotePrefix="0" xfId="12"/>
    <xf numFmtId="0" fontId="19" fillId="0" borderId="0" applyAlignment="1" pivotButton="0" quotePrefix="0" xfId="12">
      <alignment horizontal="right"/>
    </xf>
    <xf numFmtId="203" fontId="8" fillId="0" borderId="0" applyAlignment="1" pivotButton="0" quotePrefix="0" xfId="12">
      <alignment horizontal="centerContinuous"/>
    </xf>
    <xf numFmtId="0" fontId="8" fillId="0" borderId="0" applyAlignment="1" pivotButton="0" quotePrefix="0" xfId="12">
      <alignment horizontal="centerContinuous"/>
    </xf>
    <xf numFmtId="204" fontId="8" fillId="0" borderId="1" applyAlignment="1" pivotButton="0" quotePrefix="0" xfId="12">
      <alignment horizontal="right"/>
    </xf>
    <xf numFmtId="205" fontId="8" fillId="0" borderId="0" applyAlignment="1" pivotButton="0" quotePrefix="0" xfId="12">
      <alignment horizontal="centerContinuous"/>
    </xf>
    <xf numFmtId="0" fontId="8" fillId="0" borderId="5" applyAlignment="1" pivotButton="0" quotePrefix="0" xfId="12">
      <alignment horizontal="left"/>
    </xf>
    <xf numFmtId="204" fontId="19" fillId="0" borderId="1" applyAlignment="1" pivotButton="0" quotePrefix="0" xfId="12">
      <alignment horizontal="right"/>
    </xf>
    <xf numFmtId="206" fontId="8" fillId="0" borderId="0" applyAlignment="1" pivotButton="0" quotePrefix="0" xfId="12">
      <alignment horizontal="centerContinuous"/>
    </xf>
    <xf numFmtId="0" fontId="26" fillId="0" borderId="6" pivotButton="0" quotePrefix="0" xfId="13"/>
    <xf numFmtId="0" fontId="8" fillId="0" borderId="7" pivotButton="0" quotePrefix="0" xfId="12"/>
    <xf numFmtId="0" fontId="8" fillId="0" borderId="8" pivotButton="0" quotePrefix="0" xfId="12"/>
    <xf numFmtId="0" fontId="8" fillId="9" borderId="17" applyAlignment="1" pivotButton="0" quotePrefix="0" xfId="15">
      <alignment horizontal="center"/>
    </xf>
    <xf numFmtId="0" fontId="14" fillId="9" borderId="17" applyAlignment="1" pivotButton="0" quotePrefix="0" xfId="15">
      <alignment horizontal="center"/>
    </xf>
    <xf numFmtId="0" fontId="17" fillId="9" borderId="16" applyAlignment="1" pivotButton="0" quotePrefix="0" xfId="15">
      <alignment horizontal="center"/>
    </xf>
    <xf numFmtId="199" fontId="8" fillId="0" borderId="5" applyAlignment="1" pivotButton="0" quotePrefix="0" xfId="6">
      <alignment horizontal="left"/>
    </xf>
    <xf numFmtId="2" fontId="8" fillId="0" borderId="16" applyAlignment="1" pivotButton="0" quotePrefix="0" xfId="1">
      <alignment horizontal="center" vertical="center"/>
    </xf>
    <xf numFmtId="207" fontId="8" fillId="4" borderId="5" applyAlignment="1" pivotButton="0" quotePrefix="0" xfId="5">
      <alignment horizontal="left"/>
    </xf>
    <xf numFmtId="207" fontId="8" fillId="4" borderId="1" applyAlignment="1" pivotButton="0" quotePrefix="0" xfId="7">
      <alignment horizontal="left"/>
    </xf>
    <xf numFmtId="165" fontId="8" fillId="0" borderId="5" applyAlignment="1" pivotButton="0" quotePrefix="0" xfId="6">
      <alignment horizontal="center" wrapText="1"/>
    </xf>
    <xf numFmtId="165" fontId="8" fillId="0" borderId="1" applyAlignment="1" pivotButton="0" quotePrefix="0" xfId="6">
      <alignment horizontal="center" wrapText="1"/>
    </xf>
    <xf numFmtId="168" fontId="8" fillId="0" borderId="5" applyAlignment="1" pivotButton="0" quotePrefix="0" xfId="6">
      <alignment horizontal="left"/>
    </xf>
    <xf numFmtId="168" fontId="8" fillId="0" borderId="1" applyAlignment="1" pivotButton="0" quotePrefix="0" xfId="6">
      <alignment horizontal="left"/>
    </xf>
    <xf numFmtId="207" fontId="8" fillId="4" borderId="5" applyAlignment="1" pivotButton="0" quotePrefix="0" xfId="5">
      <alignment horizontal="center"/>
    </xf>
    <xf numFmtId="207" fontId="8" fillId="4" borderId="1" applyAlignment="1" pivotButton="0" quotePrefix="0" xfId="7">
      <alignment horizontal="center"/>
    </xf>
    <xf numFmtId="205" fontId="8" fillId="0" borderId="0" applyAlignment="1" pivotButton="0" quotePrefix="0" xfId="12">
      <alignment horizontal="left"/>
    </xf>
    <xf numFmtId="49" fontId="14" fillId="0" borderId="20" applyAlignment="1" pivotButton="0" quotePrefix="0" xfId="12">
      <alignment horizontal="center"/>
    </xf>
    <xf numFmtId="49" fontId="14" fillId="0" borderId="21" applyAlignment="1" pivotButton="0" quotePrefix="0" xfId="12">
      <alignment horizontal="center"/>
    </xf>
    <xf numFmtId="49" fontId="14" fillId="0" borderId="18" applyAlignment="1" pivotButton="0" quotePrefix="0" xfId="12">
      <alignment horizontal="center"/>
    </xf>
    <xf numFmtId="164" fontId="43" fillId="0" borderId="20" applyAlignment="1" pivotButton="0" quotePrefix="0" xfId="18">
      <alignment horizontal="center"/>
    </xf>
    <xf numFmtId="164" fontId="43" fillId="0" borderId="21" applyAlignment="1" pivotButton="0" quotePrefix="0" xfId="18">
      <alignment horizontal="center"/>
    </xf>
    <xf numFmtId="164" fontId="43" fillId="0" borderId="18" applyAlignment="1" pivotButton="0" quotePrefix="0" xfId="18">
      <alignment horizontal="center"/>
    </xf>
    <xf numFmtId="164" fontId="8" fillId="0" borderId="6" applyAlignment="1" pivotButton="0" quotePrefix="0" xfId="0">
      <alignment horizontal="left"/>
    </xf>
    <xf numFmtId="164" fontId="8" fillId="0" borderId="7" applyAlignment="1" pivotButton="0" quotePrefix="0" xfId="0">
      <alignment horizontal="left"/>
    </xf>
    <xf numFmtId="164" fontId="14" fillId="0" borderId="14" applyAlignment="1" pivotButton="0" quotePrefix="0" xfId="0">
      <alignment horizontal="center"/>
    </xf>
    <xf numFmtId="164" fontId="8" fillId="0" borderId="2" applyAlignment="1" pivotButton="0" quotePrefix="0" xfId="0">
      <alignment horizontal="left"/>
    </xf>
    <xf numFmtId="164" fontId="8" fillId="0" borderId="3" applyAlignment="1" pivotButton="0" quotePrefix="0" xfId="0">
      <alignment horizontal="left"/>
    </xf>
    <xf numFmtId="164" fontId="8" fillId="0" borderId="4" applyAlignment="1" pivotButton="0" quotePrefix="0" xfId="0">
      <alignment horizontal="left"/>
    </xf>
    <xf numFmtId="164" fontId="8" fillId="0" borderId="5" applyAlignment="1" pivotButton="0" quotePrefix="0" xfId="0">
      <alignment horizontal="left"/>
    </xf>
    <xf numFmtId="164" fontId="8" fillId="0" borderId="0" applyAlignment="1" pivotButton="0" quotePrefix="0" xfId="0">
      <alignment horizontal="left"/>
    </xf>
    <xf numFmtId="164" fontId="8" fillId="0" borderId="1" applyAlignment="1" pivotButton="0" quotePrefix="0" xfId="0">
      <alignment horizontal="left"/>
    </xf>
    <xf numFmtId="164" fontId="8" fillId="0" borderId="8" applyAlignment="1" pivotButton="0" quotePrefix="0" xfId="0">
      <alignment horizontal="left"/>
    </xf>
    <xf numFmtId="164" fontId="34" fillId="0" borderId="5" applyAlignment="1" pivotButton="0" quotePrefix="0" xfId="0">
      <alignment horizontal="center" vertical="center" wrapText="1"/>
    </xf>
    <xf numFmtId="164" fontId="34" fillId="0" borderId="1" applyAlignment="1" pivotButton="0" quotePrefix="0" xfId="0">
      <alignment horizontal="center" vertical="center" wrapText="1"/>
    </xf>
    <xf numFmtId="164" fontId="32" fillId="0" borderId="20" applyAlignment="1" pivotButton="0" quotePrefix="0" xfId="0">
      <alignment horizontal="center" vertical="center"/>
    </xf>
    <xf numFmtId="164" fontId="32" fillId="0" borderId="21" applyAlignment="1" pivotButton="0" quotePrefix="0" xfId="0">
      <alignment horizontal="center" vertical="center"/>
    </xf>
    <xf numFmtId="164" fontId="32" fillId="0" borderId="18" applyAlignment="1" pivotButton="0" quotePrefix="0" xfId="0">
      <alignment horizontal="center" vertical="center"/>
    </xf>
    <xf numFmtId="164" fontId="37" fillId="0" borderId="20" applyAlignment="1" pivotButton="0" quotePrefix="0" xfId="0">
      <alignment horizontal="center" vertical="center"/>
    </xf>
    <xf numFmtId="164" fontId="37" fillId="0" borderId="21" applyAlignment="1" pivotButton="0" quotePrefix="0" xfId="0">
      <alignment horizontal="center" vertical="center"/>
    </xf>
    <xf numFmtId="164" fontId="37" fillId="0" borderId="18" applyAlignment="1" pivotButton="0" quotePrefix="0" xfId="0">
      <alignment horizontal="center" vertical="center"/>
    </xf>
    <xf numFmtId="164" fontId="32" fillId="0" borderId="3" applyAlignment="1" pivotButton="0" quotePrefix="0" xfId="0">
      <alignment horizontal="center" vertical="center"/>
    </xf>
    <xf numFmtId="164" fontId="34" fillId="7" borderId="5" applyAlignment="1" pivotButton="0" quotePrefix="0" xfId="0">
      <alignment horizontal="center" vertical="center" wrapText="1"/>
    </xf>
    <xf numFmtId="164" fontId="34" fillId="7" borderId="1" applyAlignment="1" pivotButton="0" quotePrefix="0" xfId="0">
      <alignment horizontal="center" vertical="center" wrapText="1"/>
    </xf>
    <xf numFmtId="164" fontId="8" fillId="0" borderId="6" applyAlignment="1" pivotButton="0" quotePrefix="0" xfId="0">
      <alignment horizontal="left" wrapText="1"/>
    </xf>
    <xf numFmtId="164" fontId="8" fillId="0" borderId="7" applyAlignment="1" pivotButton="0" quotePrefix="0" xfId="0">
      <alignment horizontal="left" wrapText="1"/>
    </xf>
    <xf numFmtId="164" fontId="8" fillId="0" borderId="8" applyAlignment="1" pivotButton="0" quotePrefix="0" xfId="0">
      <alignment horizontal="left" wrapText="1"/>
    </xf>
    <xf numFmtId="164" fontId="8" fillId="0" borderId="5" applyAlignment="1" pivotButton="0" quotePrefix="0" xfId="0">
      <alignment horizontal="left" wrapText="1"/>
    </xf>
    <xf numFmtId="164" fontId="8" fillId="0" borderId="0" applyAlignment="1" pivotButton="0" quotePrefix="0" xfId="0">
      <alignment horizontal="left" wrapText="1"/>
    </xf>
    <xf numFmtId="164" fontId="8" fillId="0" borderId="1" applyAlignment="1" pivotButton="0" quotePrefix="0" xfId="0">
      <alignment horizontal="left" wrapText="1"/>
    </xf>
    <xf numFmtId="164" fontId="8" fillId="0" borderId="2" applyAlignment="1" pivotButton="0" quotePrefix="0" xfId="0">
      <alignment horizontal="left" wrapText="1"/>
    </xf>
    <xf numFmtId="164" fontId="8" fillId="0" borderId="3" applyAlignment="1" pivotButton="0" quotePrefix="0" xfId="0">
      <alignment horizontal="left" wrapText="1"/>
    </xf>
    <xf numFmtId="164" fontId="8" fillId="0" borderId="4" applyAlignment="1" pivotButton="0" quotePrefix="0" xfId="0">
      <alignment horizontal="left" wrapText="1"/>
    </xf>
    <xf numFmtId="164" fontId="8" fillId="0" borderId="9" applyAlignment="1" pivotButton="0" quotePrefix="0" xfId="0">
      <alignment horizontal="center" vertical="center" wrapText="1"/>
    </xf>
    <xf numFmtId="164" fontId="8" fillId="0" borderId="13" applyAlignment="1" pivotButton="0" quotePrefix="0" xfId="0">
      <alignment horizontal="center" vertical="center" wrapText="1"/>
    </xf>
    <xf numFmtId="0" fontId="40" fillId="0" borderId="0" applyAlignment="1" pivotButton="0" quotePrefix="0" xfId="22">
      <alignment horizontal="center"/>
    </xf>
    <xf numFmtId="164" fontId="8" fillId="0" borderId="20" applyAlignment="1" pivotButton="0" quotePrefix="0" xfId="0">
      <alignment horizontal="left" vertical="center" wrapText="1"/>
    </xf>
    <xf numFmtId="208" fontId="8" fillId="0" borderId="20" applyAlignment="1" pivotButton="0" quotePrefix="0" xfId="0">
      <alignment horizontal="left" vertical="center" wrapText="1"/>
    </xf>
    <xf numFmtId="164" fontId="8" fillId="9" borderId="41" applyAlignment="1" pivotButton="0" quotePrefix="0" xfId="0">
      <alignment horizontal="left" vertical="center" wrapText="1"/>
    </xf>
    <xf numFmtId="164" fontId="8" fillId="9" borderId="42" applyAlignment="1" pivotButton="0" quotePrefix="0" xfId="0">
      <alignment horizontal="left" vertical="center" wrapText="1"/>
    </xf>
    <xf numFmtId="164" fontId="45" fillId="9" borderId="42" applyAlignment="1" pivotButton="0" quotePrefix="0" xfId="0">
      <alignment horizontal="left" vertical="top" wrapText="1"/>
    </xf>
    <xf numFmtId="164" fontId="8" fillId="9" borderId="43" applyAlignment="1" pivotButton="0" quotePrefix="0" xfId="0">
      <alignment horizontal="left" vertical="center" wrapText="1"/>
    </xf>
    <xf numFmtId="164" fontId="45" fillId="9" borderId="44" applyAlignment="1" pivotButton="0" quotePrefix="0" xfId="0">
      <alignment horizontal="left" vertical="top" wrapText="1" indent="11"/>
    </xf>
    <xf numFmtId="164" fontId="45" fillId="9" borderId="45" applyAlignment="1" pivotButton="0" quotePrefix="0" xfId="0">
      <alignment horizontal="left" vertical="top" wrapText="1" indent="11"/>
    </xf>
    <xf numFmtId="164" fontId="45" fillId="9" borderId="46" applyAlignment="1" pivotButton="0" quotePrefix="0" xfId="0">
      <alignment horizontal="left" vertical="top" wrapText="1" indent="11"/>
    </xf>
    <xf numFmtId="164" fontId="45" fillId="9" borderId="47" applyAlignment="1" pivotButton="0" quotePrefix="0" xfId="0">
      <alignment vertical="top" wrapText="1"/>
    </xf>
    <xf numFmtId="164" fontId="45" fillId="9" borderId="47" applyAlignment="1" pivotButton="0" quotePrefix="0" xfId="0">
      <alignment horizontal="center" vertical="center" wrapText="1"/>
    </xf>
    <xf numFmtId="164" fontId="45" fillId="9" borderId="48" applyAlignment="1" pivotButton="0" quotePrefix="0" xfId="0">
      <alignment horizontal="center" vertical="center" wrapText="1"/>
    </xf>
    <xf numFmtId="164" fontId="23" fillId="0" borderId="17" applyAlignment="1" pivotButton="0" quotePrefix="0" xfId="0">
      <alignment horizontal="left" vertical="top" wrapText="1"/>
    </xf>
    <xf numFmtId="164" fontId="23" fillId="0" borderId="19" applyAlignment="1" pivotButton="0" quotePrefix="0" xfId="0">
      <alignment horizontal="left" vertical="top" wrapText="1"/>
    </xf>
    <xf numFmtId="164" fontId="23" fillId="0" borderId="19" applyAlignment="1" pivotButton="0" quotePrefix="0" xfId="0">
      <alignment horizontal="center" vertical="center" wrapText="1"/>
    </xf>
    <xf numFmtId="164" fontId="23" fillId="0" borderId="4" applyAlignment="1" pivotButton="0" quotePrefix="0" xfId="0">
      <alignment horizontal="center" vertical="center" wrapText="1"/>
    </xf>
    <xf numFmtId="164" fontId="23" fillId="0" borderId="0" applyAlignment="1" pivotButton="0" quotePrefix="0" xfId="0">
      <alignment horizontal="left" vertical="top" wrapText="1"/>
    </xf>
    <xf numFmtId="164" fontId="23" fillId="0" borderId="1" applyAlignment="1" pivotButton="0" quotePrefix="0" xfId="0">
      <alignment horizontal="center" vertical="center" wrapText="1"/>
    </xf>
    <xf numFmtId="164" fontId="23" fillId="0" borderId="17" applyAlignment="1" pivotButton="0" quotePrefix="0" xfId="0">
      <alignment horizontal="center" vertical="center" wrapText="1"/>
    </xf>
    <xf numFmtId="164" fontId="8" fillId="0" borderId="19" applyAlignment="1" pivotButton="0" quotePrefix="0" xfId="0">
      <alignment horizontal="left" wrapText="1"/>
    </xf>
    <xf numFmtId="164" fontId="23" fillId="0" borderId="19" applyAlignment="1" pivotButton="0" quotePrefix="0" xfId="0">
      <alignment horizontal="center" vertical="top" wrapText="1"/>
    </xf>
    <xf numFmtId="164" fontId="23" fillId="0" borderId="19" applyAlignment="1" pivotButton="0" quotePrefix="0" xfId="0">
      <alignment vertical="top" wrapText="1"/>
    </xf>
    <xf numFmtId="1" fontId="23" fillId="0" borderId="19" applyAlignment="1" pivotButton="0" quotePrefix="0" xfId="0">
      <alignment vertical="top" shrinkToFit="1"/>
    </xf>
    <xf numFmtId="164" fontId="23" fillId="0" borderId="1" applyAlignment="1" pivotButton="0" quotePrefix="0" xfId="0">
      <alignment horizontal="center" vertical="top" wrapText="1"/>
    </xf>
    <xf numFmtId="3" fontId="44" fillId="0" borderId="19" applyAlignment="1" pivotButton="0" quotePrefix="0" xfId="0">
      <alignment vertical="top" shrinkToFit="1"/>
    </xf>
    <xf numFmtId="3" fontId="44" fillId="0" borderId="19" applyAlignment="1" pivotButton="0" quotePrefix="0" xfId="0">
      <alignment horizontal="center" vertical="top" shrinkToFit="1"/>
    </xf>
    <xf numFmtId="3" fontId="46" fillId="0" borderId="1" applyAlignment="1" pivotButton="0" quotePrefix="0" xfId="0">
      <alignment horizontal="center" vertical="top" shrinkToFit="1"/>
    </xf>
    <xf numFmtId="164" fontId="23" fillId="0" borderId="16" applyAlignment="1" pivotButton="0" quotePrefix="0" xfId="0">
      <alignment horizontal="left" vertical="top" wrapText="1"/>
    </xf>
    <xf numFmtId="196" fontId="44" fillId="0" borderId="19" applyAlignment="1" pivotButton="0" quotePrefix="0" xfId="0">
      <alignment vertical="top" shrinkToFit="1"/>
    </xf>
    <xf numFmtId="196" fontId="44" fillId="0" borderId="19" applyAlignment="1" pivotButton="0" quotePrefix="0" xfId="0">
      <alignment horizontal="center" vertical="top" shrinkToFit="1"/>
    </xf>
    <xf numFmtId="196" fontId="46" fillId="0" borderId="1" applyAlignment="1" pivotButton="0" quotePrefix="0" xfId="0">
      <alignment horizontal="center" vertical="top" shrinkToFit="1"/>
    </xf>
    <xf numFmtId="3" fontId="44" fillId="0" borderId="16" applyAlignment="1" pivotButton="0" quotePrefix="0" xfId="0">
      <alignment vertical="top" shrinkToFit="1"/>
    </xf>
    <xf numFmtId="3" fontId="44" fillId="0" borderId="16" applyAlignment="1" pivotButton="0" quotePrefix="0" xfId="0">
      <alignment horizontal="center" vertical="top" shrinkToFit="1"/>
    </xf>
    <xf numFmtId="3" fontId="8" fillId="0" borderId="8" applyAlignment="1" pivotButton="0" quotePrefix="0" xfId="0">
      <alignment horizontal="center" vertical="top" shrinkToFit="1"/>
    </xf>
    <xf numFmtId="164" fontId="43" fillId="9" borderId="47" applyAlignment="1" pivotButton="0" quotePrefix="0" xfId="0">
      <alignment horizontal="center" vertical="center" wrapText="1"/>
    </xf>
    <xf numFmtId="164" fontId="44" fillId="0" borderId="17" applyAlignment="1" pivotButton="0" quotePrefix="0" xfId="0">
      <alignment horizontal="center" vertical="center" wrapText="1"/>
    </xf>
    <xf numFmtId="164" fontId="44" fillId="0" borderId="19" applyAlignment="1" pivotButton="0" quotePrefix="0" xfId="0">
      <alignment horizontal="center" vertical="center" wrapText="1"/>
    </xf>
    <xf numFmtId="164" fontId="44" fillId="0" borderId="19" applyAlignment="1" pivotButton="0" quotePrefix="0" xfId="0">
      <alignment horizontal="left" vertical="center" wrapText="1"/>
    </xf>
    <xf numFmtId="3" fontId="44" fillId="0" borderId="19" applyAlignment="1" pivotButton="0" quotePrefix="0" xfId="0">
      <alignment horizontal="center" vertical="center" shrinkToFit="1"/>
    </xf>
    <xf numFmtId="164" fontId="44" fillId="0" borderId="0" applyAlignment="1" pivotButton="0" quotePrefix="0" xfId="0">
      <alignment vertical="center"/>
    </xf>
    <xf numFmtId="196" fontId="44" fillId="0" borderId="19" applyAlignment="1" pivotButton="0" quotePrefix="0" xfId="0">
      <alignment horizontal="left" vertical="center" wrapText="1"/>
    </xf>
    <xf numFmtId="196" fontId="44" fillId="0" borderId="19" applyAlignment="1" pivotButton="0" quotePrefix="0" xfId="0">
      <alignment horizontal="center" vertical="center" shrinkToFit="1"/>
    </xf>
    <xf numFmtId="196" fontId="44" fillId="0" borderId="0" applyAlignment="1" pivotButton="0" quotePrefix="0" xfId="0">
      <alignment vertical="center"/>
    </xf>
    <xf numFmtId="164" fontId="44" fillId="0" borderId="16" applyAlignment="1" pivotButton="0" quotePrefix="0" xfId="0">
      <alignment horizontal="left" vertical="center" wrapText="1"/>
    </xf>
    <xf numFmtId="3" fontId="44" fillId="0" borderId="16" applyAlignment="1" pivotButton="0" quotePrefix="0" xfId="0">
      <alignment horizontal="center" vertical="center" shrinkToFit="1"/>
    </xf>
    <xf numFmtId="164" fontId="44" fillId="0" borderId="0" applyAlignment="1" pivotButton="0" quotePrefix="0" xfId="0">
      <alignment horizontal="left" vertical="center" wrapText="1"/>
    </xf>
    <xf numFmtId="3" fontId="44" fillId="0" borderId="0" applyAlignment="1" pivotButton="0" quotePrefix="0" xfId="0">
      <alignment horizontal="center" vertical="center" shrinkToFit="1"/>
    </xf>
    <xf numFmtId="164" fontId="44" fillId="7" borderId="19" applyAlignment="1" pivotButton="0" quotePrefix="0" xfId="0">
      <alignment horizontal="left" vertical="center" wrapText="1"/>
    </xf>
    <xf numFmtId="3" fontId="44" fillId="7" borderId="0" applyAlignment="1" pivotButton="0" quotePrefix="0" xfId="0">
      <alignment horizontal="center" vertical="center" shrinkToFit="1"/>
    </xf>
    <xf numFmtId="9" fontId="44" fillId="7" borderId="0" applyAlignment="1" pivotButton="0" quotePrefix="0" xfId="3">
      <alignment horizontal="center" vertical="center"/>
    </xf>
    <xf numFmtId="9" fontId="44" fillId="0" borderId="0" applyAlignment="1" pivotButton="0" quotePrefix="0" xfId="3">
      <alignment horizontal="center" vertical="center"/>
    </xf>
    <xf numFmtId="164" fontId="44" fillId="7" borderId="16" applyAlignment="1" pivotButton="0" quotePrefix="0" xfId="0">
      <alignment horizontal="left" vertical="center" wrapText="1"/>
    </xf>
    <xf numFmtId="164" fontId="8" fillId="7" borderId="0" pivotButton="0" quotePrefix="0" xfId="0"/>
    <xf numFmtId="164" fontId="8" fillId="0" borderId="19" applyAlignment="1" pivotButton="0" quotePrefix="0" xfId="0">
      <alignment horizontal="center" vertical="center" wrapText="1"/>
    </xf>
    <xf numFmtId="164" fontId="47" fillId="0" borderId="19" applyAlignment="1" pivotButton="0" quotePrefix="0" xfId="0">
      <alignment horizontal="center" vertical="center" wrapText="1"/>
    </xf>
    <xf numFmtId="3" fontId="47" fillId="0" borderId="19" applyAlignment="1" pivotButton="0" quotePrefix="0" xfId="0">
      <alignment horizontal="center" vertical="center" shrinkToFit="1"/>
    </xf>
    <xf numFmtId="3" fontId="8" fillId="0" borderId="19" applyAlignment="1" pivotButton="0" quotePrefix="0" xfId="0">
      <alignment horizontal="center" vertical="center" shrinkToFit="1"/>
    </xf>
    <xf numFmtId="196" fontId="47" fillId="0" borderId="19" applyAlignment="1" pivotButton="0" quotePrefix="0" xfId="0">
      <alignment horizontal="center" vertical="center" shrinkToFit="1"/>
    </xf>
    <xf numFmtId="196" fontId="8" fillId="0" borderId="19" applyAlignment="1" pivotButton="0" quotePrefix="0" xfId="0">
      <alignment horizontal="center" vertical="center" shrinkToFit="1"/>
    </xf>
    <xf numFmtId="3" fontId="47" fillId="0" borderId="16" applyAlignment="1" pivotButton="0" quotePrefix="0" xfId="0">
      <alignment horizontal="center" vertical="center" shrinkToFit="1"/>
    </xf>
    <xf numFmtId="3" fontId="8" fillId="0" borderId="16" applyAlignment="1" pivotButton="0" quotePrefix="0" xfId="0">
      <alignment horizontal="center" vertical="center" shrinkToFit="1"/>
    </xf>
    <xf numFmtId="164" fontId="45" fillId="9" borderId="42" applyAlignment="1" pivotButton="0" quotePrefix="0" xfId="0">
      <alignment horizontal="left" vertical="center" wrapText="1"/>
    </xf>
    <xf numFmtId="164" fontId="45" fillId="9" borderId="44" applyAlignment="1" pivotButton="0" quotePrefix="0" xfId="0">
      <alignment horizontal="center" vertical="center" wrapText="1"/>
    </xf>
    <xf numFmtId="164" fontId="45" fillId="9" borderId="45" applyAlignment="1" pivotButton="0" quotePrefix="0" xfId="0">
      <alignment horizontal="center" vertical="center" wrapText="1"/>
    </xf>
    <xf numFmtId="164" fontId="45" fillId="9" borderId="46" applyAlignment="1" pivotButton="0" quotePrefix="0" xfId="0">
      <alignment horizontal="center" vertical="center" wrapText="1"/>
    </xf>
    <xf numFmtId="164" fontId="43" fillId="9" borderId="47" applyAlignment="1" pivotButton="0" quotePrefix="0" xfId="0">
      <alignment vertical="center" wrapText="1"/>
    </xf>
    <xf numFmtId="164" fontId="43" fillId="9" borderId="48" applyAlignment="1" pivotButton="0" quotePrefix="0" xfId="0">
      <alignment horizontal="center" vertical="center" wrapText="1"/>
    </xf>
    <xf numFmtId="164" fontId="44" fillId="0" borderId="17" applyAlignment="1" pivotButton="0" quotePrefix="0" xfId="0">
      <alignment horizontal="left" vertical="center" wrapText="1"/>
    </xf>
    <xf numFmtId="164" fontId="44" fillId="0" borderId="4" applyAlignment="1" pivotButton="0" quotePrefix="0" xfId="0">
      <alignment horizontal="center" vertical="center" wrapText="1"/>
    </xf>
    <xf numFmtId="164" fontId="44" fillId="0" borderId="1" applyAlignment="1" pivotButton="0" quotePrefix="0" xfId="0">
      <alignment horizontal="center" vertical="center" wrapText="1"/>
    </xf>
    <xf numFmtId="1" fontId="44" fillId="0" borderId="19" applyAlignment="1" pivotButton="0" quotePrefix="0" xfId="0">
      <alignment horizontal="center" vertical="center" shrinkToFit="1"/>
    </xf>
    <xf numFmtId="164" fontId="47" fillId="0" borderId="1" applyAlignment="1" pivotButton="0" quotePrefix="0" xfId="0">
      <alignment horizontal="center" vertical="center" wrapText="1"/>
    </xf>
    <xf numFmtId="3" fontId="47" fillId="0" borderId="19" applyAlignment="1" pivotButton="0" quotePrefix="0" xfId="0">
      <alignment horizontal="center" vertical="top" shrinkToFit="1"/>
    </xf>
    <xf numFmtId="196" fontId="47" fillId="0" borderId="19" applyAlignment="1" pivotButton="0" quotePrefix="0" xfId="0">
      <alignment horizontal="center" vertical="top" shrinkToFit="1"/>
    </xf>
    <xf numFmtId="3" fontId="47" fillId="0" borderId="16" applyAlignment="1" pivotButton="0" quotePrefix="0" xfId="0">
      <alignment horizontal="center" vertical="top" shrinkToFit="1"/>
    </xf>
    <xf numFmtId="164" fontId="8" fillId="10" borderId="49" applyAlignment="1" pivotButton="0" quotePrefix="0" xfId="0">
      <alignment vertical="center" wrapText="1"/>
    </xf>
    <xf numFmtId="164" fontId="8" fillId="10" borderId="50" applyAlignment="1" pivotButton="0" quotePrefix="0" xfId="0">
      <alignment vertical="center" wrapText="1"/>
    </xf>
    <xf numFmtId="164" fontId="8" fillId="10" borderId="51" applyAlignment="1" pivotButton="0" quotePrefix="0" xfId="0">
      <alignment vertical="center" wrapText="1"/>
    </xf>
    <xf numFmtId="164" fontId="15" fillId="10" borderId="52" applyAlignment="1" pivotButton="0" quotePrefix="0" xfId="0">
      <alignment horizontal="center" vertical="center" wrapText="1"/>
    </xf>
    <xf numFmtId="164" fontId="15" fillId="10" borderId="0" applyAlignment="1" pivotButton="0" quotePrefix="0" xfId="0">
      <alignment horizontal="center" vertical="center" wrapText="1"/>
    </xf>
    <xf numFmtId="164" fontId="15" fillId="10" borderId="53" applyAlignment="1" pivotButton="0" quotePrefix="0" xfId="0">
      <alignment horizontal="center" vertical="center" wrapText="1"/>
    </xf>
    <xf numFmtId="164" fontId="8" fillId="0" borderId="54" applyAlignment="1" pivotButton="0" quotePrefix="0" xfId="0">
      <alignment horizontal="left" vertical="center" wrapText="1"/>
    </xf>
    <xf numFmtId="164" fontId="8" fillId="0" borderId="14" applyAlignment="1" pivotButton="0" quotePrefix="0" xfId="0">
      <alignment horizontal="left" vertical="center" wrapText="1"/>
    </xf>
    <xf numFmtId="164" fontId="8" fillId="0" borderId="55" applyAlignment="1" pivotButton="0" quotePrefix="0" xfId="0">
      <alignment horizontal="left" vertical="center" wrapText="1"/>
    </xf>
    <xf numFmtId="208" fontId="8" fillId="0" borderId="55" applyAlignment="1" pivotButton="0" quotePrefix="0" xfId="0">
      <alignment horizontal="left" vertical="center" wrapText="1"/>
    </xf>
    <xf numFmtId="164" fontId="8" fillId="0" borderId="56" applyAlignment="1" pivotButton="0" quotePrefix="0" xfId="0">
      <alignment horizontal="left" vertical="center" wrapText="1"/>
    </xf>
    <xf numFmtId="164" fontId="8" fillId="0" borderId="57" applyAlignment="1" pivotButton="0" quotePrefix="0" xfId="0">
      <alignment horizontal="left" vertical="center" wrapText="1"/>
    </xf>
    <xf numFmtId="9" fontId="8" fillId="0" borderId="58" applyAlignment="1" pivotButton="0" quotePrefix="0" xfId="3">
      <alignment horizontal="left" vertical="center" wrapText="1"/>
    </xf>
    <xf numFmtId="9" fontId="8" fillId="0" borderId="59" applyAlignment="1" pivotButton="0" quotePrefix="0" xfId="3">
      <alignment horizontal="left" vertical="center" wrapText="1"/>
    </xf>
    <xf numFmtId="164" fontId="14" fillId="11" borderId="52" applyAlignment="1" pivotButton="0" quotePrefix="0" xfId="0">
      <alignment horizontal="center" vertical="center" wrapText="1"/>
    </xf>
    <xf numFmtId="164" fontId="14" fillId="11" borderId="0" applyAlignment="1" pivotButton="0" quotePrefix="0" xfId="0">
      <alignment horizontal="center" vertical="center" wrapText="1"/>
    </xf>
    <xf numFmtId="164" fontId="14" fillId="11" borderId="53" applyAlignment="1" pivotButton="0" quotePrefix="0" xfId="0">
      <alignment horizontal="center" vertical="center" wrapText="1"/>
    </xf>
    <xf numFmtId="164" fontId="14" fillId="11" borderId="60" applyAlignment="1" pivotButton="0" quotePrefix="0" xfId="0">
      <alignment horizontal="center" vertical="center" wrapText="1"/>
    </xf>
    <xf numFmtId="164" fontId="14" fillId="11" borderId="61" applyAlignment="1" pivotButton="0" quotePrefix="0" xfId="0">
      <alignment horizontal="center" vertical="center" wrapText="1"/>
    </xf>
    <xf numFmtId="164" fontId="14" fillId="11" borderId="62" applyAlignment="1" pivotButton="0" quotePrefix="0" xfId="0">
      <alignment horizontal="center" vertical="center" wrapText="1"/>
    </xf>
    <xf numFmtId="164" fontId="8" fillId="11" borderId="63" applyAlignment="1" pivotButton="0" quotePrefix="0" xfId="0">
      <alignment horizontal="center" vertical="center" wrapText="1"/>
    </xf>
    <xf numFmtId="164" fontId="8" fillId="11" borderId="64" applyAlignment="1" pivotButton="0" quotePrefix="0" xfId="0">
      <alignment horizontal="center" vertical="center" wrapText="1"/>
    </xf>
    <xf numFmtId="164" fontId="8" fillId="11" borderId="13" applyAlignment="1" pivotButton="0" quotePrefix="0" xfId="0">
      <alignment horizontal="center" vertical="center" wrapText="1"/>
    </xf>
    <xf numFmtId="164" fontId="8" fillId="11" borderId="65" applyAlignment="1" pivotButton="0" quotePrefix="0" xfId="0">
      <alignment horizontal="center" vertical="center" wrapText="1"/>
    </xf>
    <xf numFmtId="196" fontId="8" fillId="0" borderId="66" applyAlignment="1" pivotButton="0" quotePrefix="0" xfId="0">
      <alignment horizontal="center" vertical="center" wrapText="1"/>
    </xf>
    <xf numFmtId="209" fontId="8" fillId="0" borderId="66" applyAlignment="1" pivotButton="0" quotePrefix="0" xfId="0">
      <alignment horizontal="center" vertical="center" wrapText="1"/>
    </xf>
    <xf numFmtId="197" fontId="48" fillId="0" borderId="10" applyAlignment="1" pivotButton="0" quotePrefix="0" xfId="0">
      <alignment horizontal="center" vertical="center" wrapText="1"/>
    </xf>
    <xf numFmtId="196" fontId="8" fillId="0" borderId="65" applyAlignment="1" pivotButton="0" quotePrefix="0" xfId="0">
      <alignment horizontal="center" vertical="center" wrapText="1"/>
    </xf>
    <xf numFmtId="209" fontId="8" fillId="0" borderId="65" applyAlignment="1" pivotButton="0" quotePrefix="0" xfId="0">
      <alignment horizontal="center" vertical="center" wrapText="1"/>
    </xf>
    <xf numFmtId="197" fontId="48" fillId="0" borderId="12" applyAlignment="1" pivotButton="0" quotePrefix="0" xfId="0">
      <alignment horizontal="center" vertical="center" wrapText="1"/>
    </xf>
    <xf numFmtId="164" fontId="14" fillId="11" borderId="49" applyAlignment="1" pivotButton="0" quotePrefix="0" xfId="0">
      <alignment horizontal="center" vertical="center" wrapText="1"/>
    </xf>
    <xf numFmtId="164" fontId="14" fillId="11" borderId="50" applyAlignment="1" pivotButton="0" quotePrefix="0" xfId="0">
      <alignment horizontal="center" vertical="center" wrapText="1"/>
    </xf>
    <xf numFmtId="164" fontId="14" fillId="11" borderId="51" applyAlignment="1" pivotButton="0" quotePrefix="0" xfId="0">
      <alignment horizontal="center" vertical="center" wrapText="1"/>
    </xf>
    <xf numFmtId="164" fontId="14" fillId="11" borderId="9" applyAlignment="1" pivotButton="0" quotePrefix="0" xfId="0">
      <alignment horizontal="center" vertical="center" wrapText="1"/>
    </xf>
    <xf numFmtId="164" fontId="14" fillId="11" borderId="66" applyAlignment="1" pivotButton="0" quotePrefix="0" xfId="0">
      <alignment horizontal="center" vertical="center" wrapText="1"/>
    </xf>
    <xf numFmtId="164" fontId="14" fillId="11" borderId="13" applyAlignment="1" pivotButton="0" quotePrefix="0" xfId="0">
      <alignment horizontal="center" vertical="center" wrapText="1"/>
    </xf>
    <xf numFmtId="164" fontId="14" fillId="11" borderId="65" applyAlignment="1" pivotButton="0" quotePrefix="0" xfId="0">
      <alignment horizontal="center" vertical="center" wrapText="1"/>
    </xf>
    <xf numFmtId="164" fontId="8" fillId="0" borderId="67" applyAlignment="1" pivotButton="0" quotePrefix="0" xfId="0">
      <alignment horizontal="center" vertical="center" wrapText="1"/>
    </xf>
    <xf numFmtId="196" fontId="8" fillId="0" borderId="67" applyAlignment="1" pivotButton="0" quotePrefix="0" xfId="0">
      <alignment horizontal="center" vertical="center" wrapText="1"/>
    </xf>
    <xf numFmtId="210" fontId="8" fillId="0" borderId="67" applyAlignment="1" pivotButton="0" quotePrefix="0" xfId="0">
      <alignment horizontal="center" vertical="center" wrapText="1"/>
    </xf>
    <xf numFmtId="164" fontId="48" fillId="0" borderId="67" applyAlignment="1" pivotButton="0" quotePrefix="0" xfId="0">
      <alignment horizontal="center" vertical="center" wrapText="1"/>
    </xf>
    <xf numFmtId="196" fontId="8" fillId="0" borderId="68" applyAlignment="1" pivotButton="0" quotePrefix="0" xfId="0">
      <alignment horizontal="center" vertical="center" wrapText="1"/>
    </xf>
    <xf numFmtId="211" fontId="8" fillId="0" borderId="68" applyAlignment="1" pivotButton="0" quotePrefix="0" xfId="0">
      <alignment horizontal="center" vertical="center" wrapText="1"/>
    </xf>
    <xf numFmtId="196" fontId="8" fillId="0" borderId="15" applyAlignment="1" pivotButton="0" quotePrefix="0" xfId="0">
      <alignment horizontal="center" vertical="center" wrapText="1"/>
    </xf>
    <xf numFmtId="211" fontId="8" fillId="0" borderId="15" applyAlignment="1" pivotButton="0" quotePrefix="0" xfId="0">
      <alignment horizontal="center" vertical="center" wrapText="1"/>
    </xf>
    <xf numFmtId="164" fontId="8" fillId="11" borderId="11" applyAlignment="1" pivotButton="0" quotePrefix="0" xfId="0">
      <alignment horizontal="center" vertical="center" wrapText="1"/>
    </xf>
    <xf numFmtId="164" fontId="8" fillId="11" borderId="12" applyAlignment="1" pivotButton="0" quotePrefix="0" xfId="0">
      <alignment horizontal="center" vertical="center" wrapText="1"/>
    </xf>
    <xf numFmtId="164" fontId="14" fillId="11" borderId="10" applyAlignment="1" pivotButton="0" quotePrefix="0" xfId="0">
      <alignment horizontal="center" vertical="center" wrapText="1"/>
    </xf>
    <xf numFmtId="164" fontId="14" fillId="11" borderId="12" applyAlignment="1" pivotButton="0" quotePrefix="0" xfId="0">
      <alignment horizontal="center" vertical="center" wrapText="1"/>
    </xf>
    <xf numFmtId="165" fontId="17" fillId="4" borderId="0" applyAlignment="1" pivotButton="0" quotePrefix="0" xfId="6">
      <alignment horizontal="left"/>
    </xf>
    <xf numFmtId="165" fontId="17" fillId="4" borderId="0" applyAlignment="1" pivotButton="0" quotePrefix="0" xfId="6">
      <alignment horizontal="centerContinuous"/>
    </xf>
    <xf numFmtId="165" fontId="8" fillId="4" borderId="0" applyAlignment="1" pivotButton="0" quotePrefix="0" xfId="6">
      <alignment horizontal="left"/>
    </xf>
    <xf numFmtId="165" fontId="8" fillId="4" borderId="0" applyAlignment="1" pivotButton="0" quotePrefix="0" xfId="6">
      <alignment horizontal="centerContinuous"/>
    </xf>
    <xf numFmtId="165" fontId="8" fillId="4" borderId="1" applyAlignment="1" pivotButton="0" quotePrefix="0" xfId="6">
      <alignment horizontal="left"/>
    </xf>
    <xf numFmtId="165" fontId="8" fillId="4" borderId="1" applyAlignment="1" pivotButton="0" quotePrefix="0" xfId="6">
      <alignment horizontal="centerContinuous"/>
    </xf>
    <xf numFmtId="194" fontId="8" fillId="4" borderId="0" applyAlignment="1" pivotButton="0" quotePrefix="0" xfId="8">
      <alignment horizontal="centerContinuous"/>
    </xf>
    <xf numFmtId="194" fontId="8" fillId="4" borderId="5" applyAlignment="1" pivotButton="0" quotePrefix="0" xfId="8">
      <alignment horizontal="centerContinuous"/>
    </xf>
    <xf numFmtId="165" fontId="8" fillId="5" borderId="0" applyAlignment="1" pivotButton="0" quotePrefix="0" xfId="6">
      <alignment horizontal="left"/>
    </xf>
    <xf numFmtId="165" fontId="8" fillId="5" borderId="1" applyAlignment="1" pivotButton="0" quotePrefix="0" xfId="6">
      <alignment horizontal="left"/>
    </xf>
    <xf numFmtId="164" fontId="8" fillId="4" borderId="0" applyAlignment="1" pivotButton="0" quotePrefix="0" xfId="9">
      <alignment horizontal="right"/>
    </xf>
    <xf numFmtId="166" fontId="8" fillId="4" borderId="1" applyAlignment="1" pivotButton="0" quotePrefix="0" xfId="6">
      <alignment horizontal="right"/>
    </xf>
    <xf numFmtId="166" fontId="8" fillId="4" borderId="0" applyAlignment="1" pivotButton="0" quotePrefix="0" xfId="6">
      <alignment horizontal="right"/>
    </xf>
    <xf numFmtId="166" fontId="8" fillId="4" borderId="1" pivotButton="0" quotePrefix="0" xfId="8"/>
    <xf numFmtId="189" fontId="8" fillId="4" borderId="0" applyAlignment="1" pivotButton="0" quotePrefix="0" xfId="6">
      <alignment horizontal="left"/>
    </xf>
    <xf numFmtId="187" fontId="8" fillId="4" borderId="0" applyAlignment="1" pivotButton="0" quotePrefix="0" xfId="1">
      <alignment horizontal="right"/>
    </xf>
    <xf numFmtId="187" fontId="8" fillId="4" borderId="1" applyAlignment="1" pivotButton="0" quotePrefix="0" xfId="1">
      <alignment horizontal="right"/>
    </xf>
    <xf numFmtId="194" fontId="14" fillId="4" borderId="5" applyAlignment="1" pivotButton="0" quotePrefix="0" xfId="8">
      <alignment horizontal="center"/>
    </xf>
    <xf numFmtId="0" fontId="0" fillId="0" borderId="0" pivotButton="0" quotePrefix="0" xfId="0"/>
    <xf numFmtId="165" fontId="8" fillId="6" borderId="0" applyAlignment="1" pivotButton="0" quotePrefix="0" xfId="6">
      <alignment horizontal="left"/>
    </xf>
    <xf numFmtId="165" fontId="8" fillId="6" borderId="1" applyAlignment="1" pivotButton="0" quotePrefix="0" xfId="6">
      <alignment horizontal="left"/>
    </xf>
    <xf numFmtId="166" fontId="8" fillId="4" borderId="0" applyAlignment="1" pivotButton="0" quotePrefix="0" xfId="9">
      <alignment horizontal="right"/>
    </xf>
    <xf numFmtId="185" fontId="8" fillId="4" borderId="1" applyAlignment="1" pivotButton="0" quotePrefix="0" xfId="6">
      <alignment horizontal="right"/>
    </xf>
    <xf numFmtId="185" fontId="8" fillId="4" borderId="0" applyAlignment="1" pivotButton="0" quotePrefix="0" xfId="6">
      <alignment horizontal="right"/>
    </xf>
    <xf numFmtId="198" fontId="8" fillId="4" borderId="0" applyAlignment="1" pivotButton="0" quotePrefix="0" xfId="6">
      <alignment horizontal="left"/>
    </xf>
    <xf numFmtId="195" fontId="8" fillId="4" borderId="0" applyAlignment="1" pivotButton="0" quotePrefix="0" xfId="9">
      <alignment horizontal="right"/>
    </xf>
    <xf numFmtId="184" fontId="8" fillId="4" borderId="1" applyAlignment="1" pivotButton="0" quotePrefix="0" xfId="6">
      <alignment horizontal="right"/>
    </xf>
    <xf numFmtId="195" fontId="8" fillId="4" borderId="1" applyAlignment="1" pivotButton="0" quotePrefix="0" xfId="6">
      <alignment horizontal="right"/>
    </xf>
    <xf numFmtId="195" fontId="8" fillId="4" borderId="0" applyAlignment="1" pivotButton="0" quotePrefix="0" xfId="6">
      <alignment horizontal="right"/>
    </xf>
    <xf numFmtId="195" fontId="8" fillId="4" borderId="5" pivotButton="0" quotePrefix="0" xfId="7"/>
    <xf numFmtId="199" fontId="8" fillId="4" borderId="0" applyAlignment="1" pivotButton="0" quotePrefix="0" xfId="6">
      <alignment horizontal="left"/>
    </xf>
    <xf numFmtId="180" fontId="8" fillId="4" borderId="1" applyAlignment="1" pivotButton="0" quotePrefix="0" xfId="6">
      <alignment horizontal="right"/>
    </xf>
    <xf numFmtId="180" fontId="8" fillId="4" borderId="0" applyAlignment="1" pivotButton="0" quotePrefix="0" xfId="6">
      <alignment horizontal="right"/>
    </xf>
    <xf numFmtId="200" fontId="18" fillId="4" borderId="5" pivotButton="0" quotePrefix="0" xfId="8"/>
    <xf numFmtId="167" fontId="8" fillId="4" borderId="0" applyAlignment="1" pivotButton="0" quotePrefix="0" xfId="6">
      <alignment horizontal="left"/>
    </xf>
    <xf numFmtId="168" fontId="8" fillId="4" borderId="0" applyAlignment="1" pivotButton="0" quotePrefix="0" xfId="6">
      <alignment horizontal="left"/>
    </xf>
    <xf numFmtId="169" fontId="19" fillId="4" borderId="1" applyAlignment="1" pivotButton="0" quotePrefix="0" xfId="3">
      <alignment horizontal="right"/>
    </xf>
    <xf numFmtId="169" fontId="19" fillId="4" borderId="0" applyAlignment="1" pivotButton="0" quotePrefix="0" xfId="3">
      <alignment horizontal="right"/>
    </xf>
    <xf numFmtId="168" fontId="8" fillId="4" borderId="5" applyAlignment="1" pivotButton="0" quotePrefix="0" xfId="6">
      <alignment horizontal="left"/>
    </xf>
    <xf numFmtId="168" fontId="8" fillId="6" borderId="0" applyAlignment="1" pivotButton="0" quotePrefix="0" xfId="6">
      <alignment horizontal="left"/>
    </xf>
    <xf numFmtId="165" fontId="8" fillId="4" borderId="1" applyAlignment="1" pivotButton="0" quotePrefix="0" xfId="6">
      <alignment horizontal="right"/>
    </xf>
    <xf numFmtId="165" fontId="8" fillId="4" borderId="0" applyAlignment="1" pivotButton="0" quotePrefix="0" xfId="6">
      <alignment horizontal="right"/>
    </xf>
    <xf numFmtId="168" fontId="8" fillId="4" borderId="0" pivotButton="0" quotePrefix="0" xfId="9"/>
    <xf numFmtId="165" fontId="8" fillId="4" borderId="5" applyAlignment="1" pivotButton="0" quotePrefix="0" xfId="6">
      <alignment horizontal="left"/>
    </xf>
    <xf numFmtId="207" fontId="8" fillId="4" borderId="19" applyAlignment="1" pivotButton="0" quotePrefix="0" xfId="5">
      <alignment horizontal="left"/>
    </xf>
    <xf numFmtId="0" fontId="0" fillId="0" borderId="1" pivotButton="0" quotePrefix="0" xfId="0"/>
    <xf numFmtId="165" fontId="20" fillId="4" borderId="0" applyAlignment="1" pivotButton="0" quotePrefix="0" xfId="6">
      <alignment horizontal="left"/>
    </xf>
    <xf numFmtId="164" fontId="8" fillId="4" borderId="0" pivotButton="0" quotePrefix="0" xfId="9"/>
    <xf numFmtId="164" fontId="8" fillId="4" borderId="5" pivotButton="0" quotePrefix="0" xfId="9"/>
    <xf numFmtId="189" fontId="8" fillId="4" borderId="5" applyAlignment="1" pivotButton="0" quotePrefix="0" xfId="6">
      <alignment horizontal="right"/>
    </xf>
    <xf numFmtId="189" fontId="8" fillId="4" borderId="5" applyAlignment="1" pivotButton="0" quotePrefix="0" xfId="6">
      <alignment horizontal="left"/>
    </xf>
    <xf numFmtId="169" fontId="8" fillId="4" borderId="1" applyAlignment="1" pivotButton="0" quotePrefix="0" xfId="3">
      <alignment horizontal="right"/>
    </xf>
    <xf numFmtId="169" fontId="8" fillId="4" borderId="0" applyAlignment="1" pivotButton="0" quotePrefix="0" xfId="3">
      <alignment horizontal="right"/>
    </xf>
    <xf numFmtId="168" fontId="8" fillId="5" borderId="0" applyAlignment="1" pivotButton="0" quotePrefix="0" xfId="6">
      <alignment horizontal="left"/>
    </xf>
    <xf numFmtId="188" fontId="8" fillId="4" borderId="1" applyAlignment="1" pivotButton="0" quotePrefix="0" xfId="6">
      <alignment horizontal="left"/>
    </xf>
    <xf numFmtId="195" fontId="8" fillId="4" borderId="0" applyAlignment="1" pivotButton="0" quotePrefix="0" xfId="6">
      <alignment horizontal="left"/>
    </xf>
    <xf numFmtId="195" fontId="8" fillId="4" borderId="5" applyAlignment="1" pivotButton="0" quotePrefix="0" xfId="6">
      <alignment horizontal="left"/>
    </xf>
    <xf numFmtId="165" fontId="8" fillId="4" borderId="0" applyAlignment="1" pivotButton="0" quotePrefix="0" xfId="5">
      <alignment horizontal="left"/>
    </xf>
    <xf numFmtId="165" fontId="8" fillId="4" borderId="1" applyAlignment="1" pivotButton="0" quotePrefix="0" xfId="5">
      <alignment horizontal="right"/>
    </xf>
    <xf numFmtId="165" fontId="8" fillId="4" borderId="0" applyAlignment="1" pivotButton="0" quotePrefix="0" xfId="5">
      <alignment horizontal="right"/>
    </xf>
    <xf numFmtId="165" fontId="8" fillId="4" borderId="5" applyAlignment="1" pivotButton="0" quotePrefix="0" xfId="5">
      <alignment horizontal="left"/>
    </xf>
    <xf numFmtId="165" fontId="21" fillId="4" borderId="0" applyAlignment="1" pivotButton="0" quotePrefix="0" xfId="6">
      <alignment horizontal="left"/>
    </xf>
    <xf numFmtId="186" fontId="21" fillId="4" borderId="0" applyAlignment="1" pivotButton="0" quotePrefix="0" xfId="6">
      <alignment horizontal="right"/>
    </xf>
    <xf numFmtId="166" fontId="21" fillId="4" borderId="0" applyAlignment="1" pivotButton="0" quotePrefix="0" xfId="6">
      <alignment horizontal="left"/>
    </xf>
    <xf numFmtId="173" fontId="21" fillId="4" borderId="0" applyAlignment="1" pivotButton="0" quotePrefix="0" xfId="3">
      <alignment horizontal="right"/>
    </xf>
    <xf numFmtId="164" fontId="21" fillId="4" borderId="0" pivotButton="0" quotePrefix="0" xfId="9"/>
    <xf numFmtId="166" fontId="20" fillId="4" borderId="0" applyAlignment="1" pivotButton="0" quotePrefix="0" xfId="6">
      <alignment horizontal="left"/>
    </xf>
    <xf numFmtId="175" fontId="20" fillId="4" borderId="0" applyAlignment="1" pivotButton="0" quotePrefix="0" xfId="3">
      <alignment horizontal="right"/>
    </xf>
    <xf numFmtId="201" fontId="22" fillId="4" borderId="0" applyAlignment="1" pivotButton="0" quotePrefix="0" xfId="2">
      <alignment horizontal="left"/>
    </xf>
    <xf numFmtId="175" fontId="20" fillId="4" borderId="0" applyAlignment="1" pivotButton="0" quotePrefix="0" xfId="3">
      <alignment horizontal="left"/>
    </xf>
    <xf numFmtId="165" fontId="8" fillId="4" borderId="2" applyAlignment="1" pivotButton="0" quotePrefix="0" xfId="6">
      <alignment horizontal="left"/>
    </xf>
    <xf numFmtId="165" fontId="8" fillId="4" borderId="3" applyAlignment="1" pivotButton="0" quotePrefix="0" xfId="6">
      <alignment horizontal="left"/>
    </xf>
    <xf numFmtId="165" fontId="8" fillId="4" borderId="4" applyAlignment="1" pivotButton="0" quotePrefix="0" xfId="6">
      <alignment horizontal="left"/>
    </xf>
    <xf numFmtId="199" fontId="8" fillId="4" borderId="0" applyAlignment="1" pivotButton="0" quotePrefix="1" xfId="5">
      <alignment horizontal="left"/>
    </xf>
    <xf numFmtId="182" fontId="23" fillId="4" borderId="0" applyAlignment="1" pivotButton="0" quotePrefix="1" xfId="1">
      <alignment horizontal="centerContinuous"/>
    </xf>
    <xf numFmtId="176" fontId="23" fillId="4" borderId="0" applyAlignment="1" pivotButton="0" quotePrefix="1" xfId="1">
      <alignment horizontal="centerContinuous"/>
    </xf>
    <xf numFmtId="177" fontId="8" fillId="4" borderId="1" applyAlignment="1" pivotButton="0" quotePrefix="1" xfId="5">
      <alignment horizontal="right"/>
    </xf>
    <xf numFmtId="178" fontId="20" fillId="4" borderId="0" applyAlignment="1" pivotButton="0" quotePrefix="1" xfId="5">
      <alignment horizontal="left"/>
    </xf>
    <xf numFmtId="165" fontId="14" fillId="4" borderId="0" applyAlignment="1" pivotButton="0" quotePrefix="0" xfId="10">
      <alignment horizontal="right"/>
    </xf>
    <xf numFmtId="177" fontId="17" fillId="4" borderId="1" applyAlignment="1" pivotButton="0" quotePrefix="1" xfId="5">
      <alignment horizontal="right"/>
    </xf>
    <xf numFmtId="164" fontId="8" fillId="4" borderId="6" applyAlignment="1" pivotButton="0" quotePrefix="0" xfId="9">
      <alignment horizontal="left"/>
    </xf>
    <xf numFmtId="165" fontId="8" fillId="4" borderId="7" applyAlignment="1" pivotButton="0" quotePrefix="0" xfId="6">
      <alignment horizontal="left"/>
    </xf>
    <xf numFmtId="179" fontId="19" fillId="4" borderId="8" applyAlignment="1" pivotButton="0" quotePrefix="0" xfId="6">
      <alignment horizontal="right"/>
    </xf>
    <xf numFmtId="178" fontId="20" fillId="4" borderId="0" applyAlignment="1" pivotButton="0" quotePrefix="0" xfId="6">
      <alignment horizontal="left"/>
    </xf>
    <xf numFmtId="174" fontId="22" fillId="4" borderId="0" applyAlignment="1" pivotButton="0" quotePrefix="0" xfId="2">
      <alignment horizontal="left"/>
    </xf>
    <xf numFmtId="164" fontId="20" fillId="4" borderId="0" applyAlignment="1" pivotButton="0" quotePrefix="0" xfId="9">
      <alignment horizontal="left"/>
    </xf>
    <xf numFmtId="196" fontId="8" fillId="0" borderId="14" pivotButton="0" quotePrefix="0" xfId="15"/>
    <xf numFmtId="197" fontId="8" fillId="0" borderId="14" pivotButton="0" quotePrefix="0" xfId="15"/>
    <xf numFmtId="175" fontId="8" fillId="0" borderId="0" pivotButton="0" quotePrefix="0" xfId="3"/>
    <xf numFmtId="196" fontId="8" fillId="0" borderId="16" pivotButton="0" quotePrefix="0" xfId="15"/>
    <xf numFmtId="197" fontId="8" fillId="0" borderId="16" pivotButton="0" quotePrefix="0" xfId="15"/>
    <xf numFmtId="196" fontId="30" fillId="0" borderId="14" pivotButton="0" quotePrefix="0" xfId="15"/>
    <xf numFmtId="197" fontId="30" fillId="0" borderId="14" pivotButton="0" quotePrefix="0" xfId="15"/>
    <xf numFmtId="196" fontId="14" fillId="0" borderId="14" pivotButton="0" quotePrefix="0" xfId="15"/>
    <xf numFmtId="197" fontId="14" fillId="0" borderId="14" pivotButton="0" quotePrefix="0" xfId="15"/>
    <xf numFmtId="196" fontId="8" fillId="0" borderId="0" pivotButton="0" quotePrefix="0" xfId="15"/>
    <xf numFmtId="165" fontId="17" fillId="0" borderId="0" applyAlignment="1" pivotButton="0" quotePrefix="0" xfId="6">
      <alignment horizontal="left"/>
    </xf>
    <xf numFmtId="165" fontId="17" fillId="0" borderId="0" applyAlignment="1" pivotButton="0" quotePrefix="0" xfId="6">
      <alignment horizontal="centerContinuous"/>
    </xf>
    <xf numFmtId="165" fontId="8" fillId="0" borderId="0" applyAlignment="1" pivotButton="0" quotePrefix="0" xfId="6">
      <alignment horizontal="left"/>
    </xf>
    <xf numFmtId="165" fontId="8" fillId="0" borderId="0" applyAlignment="1" pivotButton="0" quotePrefix="0" xfId="6">
      <alignment horizontal="centerContinuous"/>
    </xf>
    <xf numFmtId="165" fontId="8" fillId="0" borderId="1" applyAlignment="1" pivotButton="0" quotePrefix="0" xfId="6">
      <alignment horizontal="left"/>
    </xf>
    <xf numFmtId="165" fontId="8" fillId="0" borderId="1" applyAlignment="1" pivotButton="0" quotePrefix="0" xfId="6">
      <alignment horizontal="centerContinuous"/>
    </xf>
    <xf numFmtId="165" fontId="8" fillId="0" borderId="0" applyAlignment="1" pivotButton="0" quotePrefix="0" xfId="6">
      <alignment horizontal="centerContinuous" wrapText="1"/>
    </xf>
    <xf numFmtId="207" fontId="8" fillId="4" borderId="19" applyAlignment="1" pivotButton="0" quotePrefix="0" xfId="5">
      <alignment horizontal="center"/>
    </xf>
    <xf numFmtId="165" fontId="8" fillId="0" borderId="19" applyAlignment="1" pivotButton="0" quotePrefix="0" xfId="6">
      <alignment horizontal="center" wrapText="1"/>
    </xf>
    <xf numFmtId="165" fontId="8" fillId="2" borderId="0" applyAlignment="1" pivotButton="0" quotePrefix="0" xfId="6">
      <alignment horizontal="left"/>
    </xf>
    <xf numFmtId="165" fontId="8" fillId="2" borderId="1" applyAlignment="1" pivotButton="0" quotePrefix="0" xfId="6">
      <alignment horizontal="left"/>
    </xf>
    <xf numFmtId="164" fontId="8" fillId="0" borderId="0" applyAlignment="1" pivotButton="0" quotePrefix="0" xfId="9">
      <alignment horizontal="right"/>
    </xf>
    <xf numFmtId="185" fontId="8" fillId="0" borderId="1" applyAlignment="1" pivotButton="0" quotePrefix="0" xfId="6">
      <alignment horizontal="right"/>
    </xf>
    <xf numFmtId="185" fontId="8" fillId="0" borderId="0" applyAlignment="1" pivotButton="0" quotePrefix="0" xfId="6">
      <alignment horizontal="right"/>
    </xf>
    <xf numFmtId="180" fontId="8" fillId="0" borderId="1" applyAlignment="1" pivotButton="0" quotePrefix="0" xfId="1">
      <alignment horizontal="right"/>
    </xf>
    <xf numFmtId="187" fontId="8" fillId="0" borderId="0" applyAlignment="1" pivotButton="0" quotePrefix="0" xfId="1">
      <alignment horizontal="right"/>
    </xf>
    <xf numFmtId="187" fontId="8" fillId="0" borderId="1" applyAlignment="1" pivotButton="0" quotePrefix="0" xfId="1">
      <alignment horizontal="right"/>
    </xf>
    <xf numFmtId="166" fontId="8" fillId="0" borderId="0" applyAlignment="1" pivotButton="0" quotePrefix="0" xfId="9">
      <alignment horizontal="right"/>
    </xf>
    <xf numFmtId="165" fontId="8" fillId="0" borderId="1" applyAlignment="1" pivotButton="0" quotePrefix="0" xfId="6">
      <alignment horizontal="right"/>
    </xf>
    <xf numFmtId="165" fontId="8" fillId="0" borderId="0" applyAlignment="1" pivotButton="0" quotePrefix="0" xfId="6">
      <alignment horizontal="right"/>
    </xf>
    <xf numFmtId="164" fontId="8" fillId="0" borderId="0" pivotButton="0" quotePrefix="0" xfId="9"/>
    <xf numFmtId="166" fontId="8" fillId="0" borderId="1" applyAlignment="1" pivotButton="0" quotePrefix="0" xfId="6">
      <alignment horizontal="right"/>
    </xf>
    <xf numFmtId="166" fontId="8" fillId="0" borderId="0" applyAlignment="1" pivotButton="0" quotePrefix="0" xfId="6">
      <alignment horizontal="right"/>
    </xf>
    <xf numFmtId="199" fontId="8" fillId="0" borderId="5" applyAlignment="1" pivotButton="0" quotePrefix="0" xfId="6">
      <alignment horizontal="left"/>
    </xf>
    <xf numFmtId="168" fontId="8" fillId="0" borderId="0" applyAlignment="1" pivotButton="0" quotePrefix="0" xfId="6">
      <alignment horizontal="left"/>
    </xf>
    <xf numFmtId="169" fontId="8" fillId="0" borderId="1" applyAlignment="1" pivotButton="0" quotePrefix="0" xfId="3">
      <alignment horizontal="right"/>
    </xf>
    <xf numFmtId="169" fontId="8" fillId="0" borderId="0" applyAlignment="1" pivotButton="0" quotePrefix="0" xfId="3">
      <alignment horizontal="right"/>
    </xf>
    <xf numFmtId="168" fontId="8" fillId="0" borderId="19" applyAlignment="1" pivotButton="0" quotePrefix="0" xfId="6">
      <alignment horizontal="left"/>
    </xf>
    <xf numFmtId="188" fontId="8" fillId="0" borderId="1" applyAlignment="1" pivotButton="0" quotePrefix="0" xfId="6">
      <alignment horizontal="left"/>
    </xf>
    <xf numFmtId="169" fontId="19" fillId="0" borderId="1" applyAlignment="1" pivotButton="0" quotePrefix="0" xfId="3">
      <alignment horizontal="right"/>
    </xf>
    <xf numFmtId="169" fontId="19" fillId="0" borderId="0" applyAlignment="1" pivotButton="0" quotePrefix="0" xfId="3">
      <alignment horizontal="right"/>
    </xf>
    <xf numFmtId="165" fontId="8" fillId="0" borderId="0" applyAlignment="1" pivotButton="0" quotePrefix="0" xfId="5">
      <alignment horizontal="left"/>
    </xf>
    <xf numFmtId="165" fontId="8" fillId="0" borderId="1" applyAlignment="1" pivotButton="0" quotePrefix="0" xfId="5">
      <alignment horizontal="right"/>
    </xf>
    <xf numFmtId="165" fontId="8" fillId="0" borderId="0" applyAlignment="1" pivotButton="0" quotePrefix="0" xfId="5">
      <alignment horizontal="right"/>
    </xf>
    <xf numFmtId="165" fontId="24" fillId="0" borderId="0" applyAlignment="1" pivotButton="0" quotePrefix="0" xfId="6">
      <alignment horizontal="left"/>
    </xf>
    <xf numFmtId="186" fontId="24" fillId="0" borderId="0" applyAlignment="1" pivotButton="0" quotePrefix="0" xfId="6">
      <alignment horizontal="right"/>
    </xf>
    <xf numFmtId="166" fontId="24" fillId="0" borderId="0" applyAlignment="1" pivotButton="0" quotePrefix="0" xfId="6">
      <alignment horizontal="left"/>
    </xf>
    <xf numFmtId="164" fontId="24" fillId="0" borderId="0" applyAlignment="1" pivotButton="0" quotePrefix="0" xfId="9">
      <alignment horizontal="right"/>
    </xf>
    <xf numFmtId="173" fontId="24" fillId="0" borderId="0" applyAlignment="1" pivotButton="0" quotePrefix="0" xfId="3">
      <alignment horizontal="right"/>
    </xf>
    <xf numFmtId="164" fontId="24" fillId="0" borderId="0" pivotButton="0" quotePrefix="0" xfId="9"/>
    <xf numFmtId="165" fontId="20" fillId="0" borderId="0" applyAlignment="1" pivotButton="0" quotePrefix="0" xfId="6">
      <alignment horizontal="left"/>
    </xf>
    <xf numFmtId="166" fontId="20" fillId="0" borderId="0" applyAlignment="1" pivotButton="0" quotePrefix="0" xfId="6">
      <alignment horizontal="left"/>
    </xf>
    <xf numFmtId="175" fontId="20" fillId="0" borderId="0" applyAlignment="1" pivotButton="0" quotePrefix="0" xfId="3">
      <alignment horizontal="left"/>
    </xf>
    <xf numFmtId="165" fontId="8" fillId="0" borderId="2" applyAlignment="1" pivotButton="0" quotePrefix="0" xfId="6">
      <alignment horizontal="left"/>
    </xf>
    <xf numFmtId="165" fontId="8" fillId="0" borderId="3" applyAlignment="1" pivotButton="0" quotePrefix="0" xfId="6">
      <alignment horizontal="left"/>
    </xf>
    <xf numFmtId="165" fontId="8" fillId="0" borderId="4" applyAlignment="1" pivotButton="0" quotePrefix="0" xfId="6">
      <alignment horizontal="left"/>
    </xf>
    <xf numFmtId="165" fontId="14" fillId="0" borderId="5" applyAlignment="1" pivotButton="0" quotePrefix="0" xfId="6">
      <alignment horizontal="centerContinuous"/>
    </xf>
    <xf numFmtId="189" fontId="8" fillId="0" borderId="0" applyAlignment="1" pivotButton="0" quotePrefix="1" xfId="5">
      <alignment horizontal="left"/>
    </xf>
    <xf numFmtId="182" fontId="23" fillId="0" borderId="0" applyAlignment="1" pivotButton="0" quotePrefix="1" xfId="1">
      <alignment horizontal="centerContinuous"/>
    </xf>
    <xf numFmtId="164" fontId="25" fillId="0" borderId="0" applyAlignment="1" pivotButton="0" quotePrefix="0" xfId="9">
      <alignment horizontal="centerContinuous"/>
    </xf>
    <xf numFmtId="177" fontId="19" fillId="0" borderId="1" applyAlignment="1" pivotButton="0" quotePrefix="1" xfId="5">
      <alignment horizontal="right"/>
    </xf>
    <xf numFmtId="178" fontId="20" fillId="0" borderId="0" applyAlignment="1" pivotButton="0" quotePrefix="1" xfId="5">
      <alignment horizontal="left"/>
    </xf>
    <xf numFmtId="164" fontId="8" fillId="0" borderId="6" applyAlignment="1" pivotButton="0" quotePrefix="0" xfId="9">
      <alignment horizontal="left"/>
    </xf>
    <xf numFmtId="165" fontId="8" fillId="0" borderId="7" applyAlignment="1" pivotButton="0" quotePrefix="0" xfId="6">
      <alignment horizontal="left"/>
    </xf>
    <xf numFmtId="165" fontId="8" fillId="0" borderId="8" applyAlignment="1" pivotButton="0" quotePrefix="0" xfId="6">
      <alignment horizontal="left"/>
    </xf>
    <xf numFmtId="179" fontId="19" fillId="0" borderId="0" applyAlignment="1" pivotButton="0" quotePrefix="0" xfId="6">
      <alignment horizontal="right"/>
    </xf>
    <xf numFmtId="178" fontId="20" fillId="0" borderId="0" applyAlignment="1" pivotButton="0" quotePrefix="0" xfId="6">
      <alignment horizontal="left"/>
    </xf>
    <xf numFmtId="164" fontId="20" fillId="0" borderId="0" applyAlignment="1" pivotButton="0" quotePrefix="0" xfId="9">
      <alignment horizontal="left"/>
    </xf>
    <xf numFmtId="49" fontId="14" fillId="0" borderId="14" applyAlignment="1" pivotButton="0" quotePrefix="0" xfId="12">
      <alignment horizontal="center"/>
    </xf>
    <xf numFmtId="0" fontId="0" fillId="0" borderId="21" pivotButton="0" quotePrefix="0" xfId="0"/>
    <xf numFmtId="0" fontId="0" fillId="0" borderId="18" pivotButton="0" quotePrefix="0" xfId="0"/>
    <xf numFmtId="200" fontId="8" fillId="0" borderId="0" pivotButton="0" quotePrefix="0" xfId="12"/>
    <xf numFmtId="166" fontId="8" fillId="0" borderId="1" applyAlignment="1" pivotButton="0" quotePrefix="0" xfId="12">
      <alignment horizontal="right"/>
    </xf>
    <xf numFmtId="205" fontId="8" fillId="0" borderId="0" applyAlignment="1" pivotButton="0" quotePrefix="0" xfId="12">
      <alignment horizontal="left"/>
    </xf>
    <xf numFmtId="166" fontId="19" fillId="0" borderId="1" applyAlignment="1" pivotButton="0" quotePrefix="0" xfId="12">
      <alignment horizontal="right"/>
    </xf>
    <xf numFmtId="203" fontId="8" fillId="0" borderId="0" applyAlignment="1" pivotButton="0" quotePrefix="0" xfId="12">
      <alignment horizontal="centerContinuous"/>
    </xf>
    <xf numFmtId="204" fontId="8" fillId="0" borderId="1" applyAlignment="1" pivotButton="0" quotePrefix="0" xfId="12">
      <alignment horizontal="right"/>
    </xf>
    <xf numFmtId="205" fontId="8" fillId="0" borderId="0" applyAlignment="1" pivotButton="0" quotePrefix="0" xfId="12">
      <alignment horizontal="centerContinuous"/>
    </xf>
    <xf numFmtId="204" fontId="19" fillId="0" borderId="1" applyAlignment="1" pivotButton="0" quotePrefix="0" xfId="12">
      <alignment horizontal="right"/>
    </xf>
    <xf numFmtId="206" fontId="8" fillId="0" borderId="0" applyAlignment="1" pivotButton="0" quotePrefix="0" xfId="12">
      <alignment horizontal="centerContinuous"/>
    </xf>
    <xf numFmtId="185" fontId="8" fillId="0" borderId="0" pivotButton="0" quotePrefix="0" xfId="12"/>
    <xf numFmtId="166" fontId="14" fillId="0" borderId="0" applyAlignment="1" pivotButton="0" quotePrefix="0" xfId="12">
      <alignment horizontal="center"/>
    </xf>
    <xf numFmtId="190" fontId="14" fillId="0" borderId="0" applyAlignment="1" pivotButton="0" quotePrefix="1" xfId="12">
      <alignment horizontal="center"/>
    </xf>
    <xf numFmtId="177" fontId="14" fillId="0" borderId="0" pivotButton="0" quotePrefix="0" xfId="12"/>
    <xf numFmtId="166" fontId="17" fillId="0" borderId="0" pivotButton="0" quotePrefix="0" xfId="12"/>
    <xf numFmtId="191" fontId="27" fillId="0" borderId="0" pivotButton="0" quotePrefix="0" xfId="12"/>
    <xf numFmtId="196" fontId="0" fillId="0" borderId="0" pivotButton="0" quotePrefix="0" xfId="0"/>
    <xf numFmtId="164" fontId="14" fillId="0" borderId="14" applyAlignment="1" pivotButton="0" quotePrefix="0" xfId="0">
      <alignment horizontal="center" wrapText="1"/>
    </xf>
    <xf numFmtId="164" fontId="8" fillId="0" borderId="14" pivotButton="0" quotePrefix="0" xfId="0"/>
    <xf numFmtId="196" fontId="8" fillId="0" borderId="14" pivotButton="0" quotePrefix="0" xfId="0"/>
    <xf numFmtId="164" fontId="14" fillId="0" borderId="14" applyAlignment="1" pivotButton="0" quotePrefix="0" xfId="0">
      <alignment horizontal="left"/>
    </xf>
    <xf numFmtId="196" fontId="42" fillId="0" borderId="21" pivotButton="0" quotePrefix="0" xfId="0"/>
    <xf numFmtId="196" fontId="42" fillId="0" borderId="18" pivotButton="0" quotePrefix="0" xfId="0"/>
    <xf numFmtId="196" fontId="14" fillId="0" borderId="14" pivotButton="0" quotePrefix="0" xfId="0"/>
    <xf numFmtId="164" fontId="8" fillId="0" borderId="0" pivotButton="0" quotePrefix="0" xfId="0"/>
    <xf numFmtId="196" fontId="8" fillId="0" borderId="0" pivotButton="0" quotePrefix="0" xfId="0"/>
    <xf numFmtId="164" fontId="14" fillId="0" borderId="20" applyAlignment="1" pivotButton="0" quotePrefix="0" xfId="0">
      <alignment horizontal="left"/>
    </xf>
    <xf numFmtId="164" fontId="14" fillId="0" borderId="18" applyAlignment="1" pivotButton="0" quotePrefix="0" xfId="0">
      <alignment horizontal="right"/>
    </xf>
    <xf numFmtId="196" fontId="14" fillId="0" borderId="8" pivotButton="0" quotePrefix="0" xfId="0"/>
    <xf numFmtId="196" fontId="8" fillId="0" borderId="7" pivotButton="0" quotePrefix="0" xfId="0"/>
    <xf numFmtId="196" fontId="8" fillId="0" borderId="3" pivotButton="0" quotePrefix="0" xfId="0"/>
    <xf numFmtId="164" fontId="8" fillId="0" borderId="0" applyAlignment="1" pivotButton="0" quotePrefix="0" xfId="0">
      <alignment horizontal="center"/>
    </xf>
    <xf numFmtId="192" fontId="8" fillId="0" borderId="0" applyAlignment="1" pivotButton="0" quotePrefix="0" xfId="14">
      <alignment horizontal="center"/>
    </xf>
    <xf numFmtId="192" fontId="8" fillId="0" borderId="29" pivotButton="0" quotePrefix="0" xfId="14"/>
    <xf numFmtId="192" fontId="19" fillId="0" borderId="29" pivotButton="0" quotePrefix="0" xfId="14"/>
    <xf numFmtId="192" fontId="8" fillId="0" borderId="26" pivotButton="0" quotePrefix="0" xfId="14"/>
    <xf numFmtId="193" fontId="8" fillId="0" borderId="0" applyAlignment="1" pivotButton="0" quotePrefix="0" xfId="14">
      <alignment horizontal="center"/>
    </xf>
    <xf numFmtId="164" fontId="4" fillId="0" borderId="0" pivotButton="0" quotePrefix="0" xfId="18"/>
    <xf numFmtId="164" fontId="4" fillId="0" borderId="39" pivotButton="0" quotePrefix="0" xfId="18"/>
    <xf numFmtId="164" fontId="44" fillId="0" borderId="40" pivotButton="0" quotePrefix="0" xfId="18"/>
    <xf numFmtId="164" fontId="44" fillId="0" borderId="32" pivotButton="0" quotePrefix="0" xfId="18"/>
    <xf numFmtId="164" fontId="44" fillId="0" borderId="0" pivotButton="0" quotePrefix="0" xfId="18"/>
    <xf numFmtId="164" fontId="43" fillId="0" borderId="14" applyAlignment="1" pivotButton="0" quotePrefix="0" xfId="0">
      <alignment horizontal="center" wrapText="1"/>
    </xf>
    <xf numFmtId="175" fontId="8" fillId="0" borderId="0" pivotButton="0" quotePrefix="0" xfId="14"/>
    <xf numFmtId="192" fontId="8" fillId="0" borderId="0" pivotButton="0" quotePrefix="0" xfId="14"/>
    <xf numFmtId="192" fontId="19" fillId="0" borderId="0" pivotButton="0" quotePrefix="0" xfId="14"/>
    <xf numFmtId="193" fontId="14" fillId="0" borderId="0" pivotButton="0" quotePrefix="0" xfId="23"/>
    <xf numFmtId="164" fontId="43" fillId="0" borderId="14" applyAlignment="1" pivotButton="0" quotePrefix="0" xfId="18">
      <alignment horizontal="center"/>
    </xf>
    <xf numFmtId="164" fontId="43" fillId="0" borderId="5" applyAlignment="1" pivotButton="0" quotePrefix="0" xfId="18">
      <alignment horizontal="center"/>
    </xf>
    <xf numFmtId="164" fontId="43" fillId="0" borderId="0" applyAlignment="1" pivotButton="0" quotePrefix="0" xfId="18">
      <alignment horizontal="center"/>
    </xf>
    <xf numFmtId="164" fontId="43" fillId="0" borderId="1" applyAlignment="1" pivotButton="0" quotePrefix="0" xfId="18">
      <alignment horizontal="center"/>
    </xf>
    <xf numFmtId="164" fontId="44" fillId="0" borderId="5" applyAlignment="1" pivotButton="0" quotePrefix="0" xfId="18">
      <alignment horizontal="center"/>
    </xf>
    <xf numFmtId="164" fontId="44" fillId="0" borderId="0" applyAlignment="1" pivotButton="0" quotePrefix="0" xfId="18">
      <alignment horizontal="center"/>
    </xf>
    <xf numFmtId="192" fontId="44" fillId="0" borderId="0" applyAlignment="1" pivotButton="0" quotePrefix="0" xfId="18">
      <alignment horizontal="center"/>
    </xf>
    <xf numFmtId="164" fontId="44" fillId="0" borderId="1" applyAlignment="1" pivotButton="0" quotePrefix="0" xfId="18">
      <alignment horizontal="center"/>
    </xf>
    <xf numFmtId="164" fontId="44" fillId="0" borderId="5" pivotButton="0" quotePrefix="0" xfId="18"/>
    <xf numFmtId="192" fontId="14" fillId="0" borderId="1" applyAlignment="1" pivotButton="0" quotePrefix="0" xfId="14">
      <alignment horizontal="center"/>
    </xf>
    <xf numFmtId="164" fontId="44" fillId="0" borderId="6" pivotButton="0" quotePrefix="0" xfId="18"/>
    <xf numFmtId="164" fontId="44" fillId="0" borderId="7" pivotButton="0" quotePrefix="0" xfId="18"/>
    <xf numFmtId="164" fontId="43" fillId="0" borderId="5" applyAlignment="1" pivotButton="0" quotePrefix="0" xfId="18">
      <alignment horizontal="center" wrapText="1"/>
    </xf>
    <xf numFmtId="164" fontId="43" fillId="0" borderId="0" applyAlignment="1" pivotButton="0" quotePrefix="0" xfId="18">
      <alignment horizontal="center" wrapText="1"/>
    </xf>
    <xf numFmtId="164" fontId="43" fillId="0" borderId="0" applyAlignment="1" pivotButton="0" quotePrefix="1" xfId="18">
      <alignment horizontal="center" wrapText="1"/>
    </xf>
    <xf numFmtId="193" fontId="44" fillId="0" borderId="5" applyAlignment="1" pivotButton="0" quotePrefix="0" xfId="23">
      <alignment horizontal="center"/>
    </xf>
    <xf numFmtId="164" fontId="44" fillId="0" borderId="1" pivotButton="0" quotePrefix="0" xfId="18"/>
    <xf numFmtId="192" fontId="44" fillId="0" borderId="5" applyAlignment="1" pivotButton="0" quotePrefix="0" xfId="18">
      <alignment horizontal="center"/>
    </xf>
    <xf numFmtId="193" fontId="44" fillId="0" borderId="0" applyAlignment="1" pivotButton="0" quotePrefix="0" xfId="23">
      <alignment horizontal="center"/>
    </xf>
    <xf numFmtId="164" fontId="44" fillId="0" borderId="0" pivotButton="0" quotePrefix="0" xfId="0"/>
    <xf numFmtId="196" fontId="8" fillId="0" borderId="14" pivotButton="0" quotePrefix="0" xfId="16"/>
    <xf numFmtId="197" fontId="8" fillId="0" borderId="14" pivotButton="0" quotePrefix="0" xfId="16"/>
    <xf numFmtId="196" fontId="8" fillId="0" borderId="16" pivotButton="0" quotePrefix="0" xfId="16"/>
    <xf numFmtId="197" fontId="8" fillId="0" borderId="16" pivotButton="0" quotePrefix="0" xfId="16"/>
    <xf numFmtId="197" fontId="8" fillId="0" borderId="14" applyAlignment="1" pivotButton="0" quotePrefix="0" xfId="16">
      <alignment horizontal="right"/>
    </xf>
    <xf numFmtId="196" fontId="30" fillId="0" borderId="14" pivotButton="0" quotePrefix="0" xfId="16"/>
    <xf numFmtId="197" fontId="14" fillId="0" borderId="14" pivotButton="0" quotePrefix="0" xfId="16"/>
    <xf numFmtId="197" fontId="30" fillId="0" borderId="14" pivotButton="0" quotePrefix="0" xfId="16"/>
    <xf numFmtId="196" fontId="14" fillId="0" borderId="14" pivotButton="0" quotePrefix="0" xfId="16"/>
    <xf numFmtId="196" fontId="8" fillId="0" borderId="0" pivotButton="0" quotePrefix="0" xfId="16"/>
    <xf numFmtId="192" fontId="14" fillId="0" borderId="0" pivotButton="0" quotePrefix="0" xfId="14"/>
    <xf numFmtId="164" fontId="37" fillId="0" borderId="14" applyAlignment="1" pivotButton="0" quotePrefix="0" xfId="0">
      <alignment horizontal="center" vertical="center"/>
    </xf>
    <xf numFmtId="164" fontId="34" fillId="0" borderId="17" applyAlignment="1" pivotButton="0" quotePrefix="0" xfId="0">
      <alignment horizontal="center" vertical="center" wrapText="1"/>
    </xf>
    <xf numFmtId="164" fontId="34" fillId="7" borderId="19" applyAlignment="1" pivotButton="0" quotePrefix="0" xfId="0">
      <alignment horizontal="center" vertical="center" wrapText="1"/>
    </xf>
    <xf numFmtId="193" fontId="35" fillId="7" borderId="19" applyAlignment="1" pivotButton="0" quotePrefix="0" xfId="3">
      <alignment vertical="center" wrapText="1"/>
    </xf>
    <xf numFmtId="164" fontId="34" fillId="0" borderId="19" applyAlignment="1" pivotButton="0" quotePrefix="0" xfId="0">
      <alignment horizontal="center" vertical="center" wrapText="1"/>
    </xf>
    <xf numFmtId="193" fontId="35" fillId="0" borderId="19" applyAlignment="1" pivotButton="0" quotePrefix="0" xfId="3">
      <alignment vertical="center" wrapText="1"/>
    </xf>
    <xf numFmtId="164" fontId="14" fillId="0" borderId="14" applyAlignment="1" pivotButton="0" quotePrefix="0" xfId="0">
      <alignment horizontal="center"/>
    </xf>
    <xf numFmtId="164" fontId="0" fillId="0" borderId="0" pivotButton="0" quotePrefix="0" xfId="0"/>
    <xf numFmtId="164" fontId="8" fillId="0" borderId="2" applyAlignment="1" pivotButton="0" quotePrefix="0" xfId="0">
      <alignment horizontal="left"/>
    </xf>
    <xf numFmtId="0" fontId="0" fillId="0" borderId="3" pivotButton="0" quotePrefix="0" xfId="0"/>
    <xf numFmtId="197" fontId="8" fillId="0" borderId="17" applyAlignment="1" pivotButton="0" quotePrefix="0" xfId="0">
      <alignment horizontal="center"/>
    </xf>
    <xf numFmtId="164" fontId="8" fillId="0" borderId="17" applyAlignment="1" pivotButton="0" quotePrefix="0" xfId="0">
      <alignment horizontal="left"/>
    </xf>
    <xf numFmtId="0" fontId="0" fillId="0" borderId="4" pivotButton="0" quotePrefix="0" xfId="0"/>
    <xf numFmtId="164" fontId="8" fillId="0" borderId="5" applyAlignment="1" pivotButton="0" quotePrefix="0" xfId="0">
      <alignment horizontal="left"/>
    </xf>
    <xf numFmtId="197" fontId="8" fillId="0" borderId="19" applyAlignment="1" pivotButton="0" quotePrefix="0" xfId="0">
      <alignment horizontal="center"/>
    </xf>
    <xf numFmtId="164" fontId="8" fillId="0" borderId="19" applyAlignment="1" pivotButton="0" quotePrefix="0" xfId="0">
      <alignment horizontal="left"/>
    </xf>
    <xf numFmtId="165" fontId="8" fillId="0" borderId="19" applyAlignment="1" pivotButton="0" quotePrefix="0" xfId="0">
      <alignment horizontal="center"/>
    </xf>
    <xf numFmtId="164" fontId="34" fillId="4" borderId="19" applyAlignment="1" pivotButton="0" quotePrefix="0" xfId="0">
      <alignment horizontal="center" vertical="center" wrapText="1"/>
    </xf>
    <xf numFmtId="193" fontId="35" fillId="4" borderId="19" applyAlignment="1" pivotButton="0" quotePrefix="0" xfId="3">
      <alignment vertical="center" wrapText="1"/>
    </xf>
    <xf numFmtId="164" fontId="8" fillId="0" borderId="6" applyAlignment="1" pivotButton="0" quotePrefix="0" xfId="0">
      <alignment horizontal="left"/>
    </xf>
    <xf numFmtId="0" fontId="0" fillId="0" borderId="7" pivotButton="0" quotePrefix="0" xfId="0"/>
    <xf numFmtId="165" fontId="8" fillId="0" borderId="16" applyAlignment="1" pivotButton="0" quotePrefix="0" xfId="0">
      <alignment horizontal="center"/>
    </xf>
    <xf numFmtId="164" fontId="8" fillId="0" borderId="16" applyAlignment="1" pivotButton="0" quotePrefix="0" xfId="0">
      <alignment horizontal="left"/>
    </xf>
    <xf numFmtId="0" fontId="0" fillId="0" borderId="8" pivotButton="0" quotePrefix="0" xfId="0"/>
    <xf numFmtId="164" fontId="32" fillId="0" borderId="3" applyAlignment="1" pivotButton="0" quotePrefix="0" xfId="0">
      <alignment horizontal="center" vertical="center"/>
    </xf>
    <xf numFmtId="165" fontId="8" fillId="0" borderId="0" pivotButton="0" quotePrefix="0" xfId="0"/>
    <xf numFmtId="164" fontId="32" fillId="0" borderId="14" applyAlignment="1" pivotButton="0" quotePrefix="0" xfId="0">
      <alignment horizontal="center" vertical="center"/>
    </xf>
    <xf numFmtId="164" fontId="8" fillId="0" borderId="2" applyAlignment="1" pivotButton="0" quotePrefix="0" xfId="0">
      <alignment horizontal="left" wrapText="1"/>
    </xf>
    <xf numFmtId="164" fontId="8" fillId="0" borderId="17" applyAlignment="1" pivotButton="0" quotePrefix="0" xfId="0">
      <alignment horizontal="left" wrapText="1"/>
    </xf>
    <xf numFmtId="164" fontId="8" fillId="0" borderId="5" applyAlignment="1" pivotButton="0" quotePrefix="0" xfId="0">
      <alignment horizontal="left" wrapText="1"/>
    </xf>
    <xf numFmtId="164" fontId="8" fillId="0" borderId="19" applyAlignment="1" pivotButton="0" quotePrefix="0" xfId="0">
      <alignment horizontal="left" wrapText="1"/>
    </xf>
    <xf numFmtId="164" fontId="8" fillId="0" borderId="6" applyAlignment="1" pivotButton="0" quotePrefix="0" xfId="0">
      <alignment horizontal="left" wrapText="1"/>
    </xf>
    <xf numFmtId="164" fontId="8" fillId="0" borderId="16" applyAlignment="1" pivotButton="0" quotePrefix="0" xfId="0">
      <alignment horizontal="left" wrapText="1"/>
    </xf>
    <xf numFmtId="164" fontId="7" fillId="0" borderId="0" pivotButton="0" quotePrefix="0" xfId="0"/>
    <xf numFmtId="164" fontId="5" fillId="0" borderId="0" pivotButton="0" quotePrefix="0" xfId="0"/>
    <xf numFmtId="165" fontId="3" fillId="0" borderId="0" applyAlignment="1" pivotButton="0" quotePrefix="0" xfId="4">
      <alignment horizontal="left"/>
    </xf>
    <xf numFmtId="165" fontId="3" fillId="0" borderId="0" applyAlignment="1" pivotButton="0" quotePrefix="0" xfId="4">
      <alignment horizontal="centerContinuous"/>
    </xf>
    <xf numFmtId="165" fontId="6" fillId="0" borderId="0" applyAlignment="1" pivotButton="0" quotePrefix="0" xfId="4">
      <alignment horizontal="left"/>
    </xf>
    <xf numFmtId="165" fontId="6" fillId="0" borderId="0" applyAlignment="1" pivotButton="0" quotePrefix="0" xfId="4">
      <alignment horizontal="centerContinuous"/>
    </xf>
    <xf numFmtId="165" fontId="6" fillId="0" borderId="1" applyAlignment="1" pivotButton="0" quotePrefix="0" xfId="4">
      <alignment horizontal="left"/>
    </xf>
    <xf numFmtId="165" fontId="6" fillId="0" borderId="1" applyAlignment="1" pivotButton="0" quotePrefix="0" xfId="4">
      <alignment horizontal="centerContinuous"/>
    </xf>
    <xf numFmtId="164" fontId="6" fillId="0" borderId="1" applyAlignment="1" pivotButton="0" quotePrefix="0" xfId="0">
      <alignment horizontal="centerContinuous"/>
    </xf>
    <xf numFmtId="165" fontId="6" fillId="2" borderId="0" applyAlignment="1" pivotButton="0" quotePrefix="0" xfId="4">
      <alignment horizontal="centerContinuous"/>
    </xf>
    <xf numFmtId="165" fontId="6" fillId="2" borderId="1" applyAlignment="1" pivotButton="0" quotePrefix="0" xfId="4">
      <alignment horizontal="centerContinuous"/>
    </xf>
    <xf numFmtId="166" fontId="6" fillId="0" borderId="1" applyAlignment="1" pivotButton="0" quotePrefix="0" xfId="4">
      <alignment horizontal="right"/>
    </xf>
    <xf numFmtId="165" fontId="2" fillId="2" borderId="0" pivotButton="0" quotePrefix="0" xfId="4"/>
    <xf numFmtId="165" fontId="2" fillId="2" borderId="1" pivotButton="0" quotePrefix="0" xfId="4"/>
    <xf numFmtId="164" fontId="6" fillId="0" borderId="0" applyAlignment="1" pivotButton="0" quotePrefix="0" xfId="0">
      <alignment horizontal="right"/>
    </xf>
    <xf numFmtId="183" fontId="6" fillId="0" borderId="5" applyAlignment="1" pivotButton="0" quotePrefix="0" xfId="1">
      <alignment horizontal="left"/>
    </xf>
    <xf numFmtId="180" fontId="6" fillId="0" borderId="1" pivotButton="0" quotePrefix="0" xfId="1"/>
    <xf numFmtId="184" fontId="6" fillId="0" borderId="1" applyAlignment="1" pivotButton="0" quotePrefix="0" xfId="4">
      <alignment horizontal="right"/>
    </xf>
    <xf numFmtId="180" fontId="6" fillId="0" borderId="5" applyAlignment="1" pivotButton="0" quotePrefix="0" xfId="1">
      <alignment horizontal="left"/>
    </xf>
    <xf numFmtId="180" fontId="6" fillId="0" borderId="1" applyAlignment="1" pivotButton="0" quotePrefix="0" xfId="4">
      <alignment horizontal="right"/>
    </xf>
    <xf numFmtId="166" fontId="6" fillId="0" borderId="0" applyAlignment="1" pivotButton="0" quotePrefix="0" xfId="0">
      <alignment horizontal="right"/>
    </xf>
    <xf numFmtId="185" fontId="6" fillId="0" borderId="1" applyAlignment="1" pivotButton="0" quotePrefix="0" xfId="4">
      <alignment horizontal="right"/>
    </xf>
    <xf numFmtId="167" fontId="6" fillId="0" borderId="0" applyAlignment="1" pivotButton="0" quotePrefix="0" xfId="4">
      <alignment horizontal="left"/>
    </xf>
    <xf numFmtId="168" fontId="6" fillId="0" borderId="0" applyAlignment="1" pivotButton="0" quotePrefix="0" xfId="4">
      <alignment horizontal="left"/>
    </xf>
    <xf numFmtId="169" fontId="9" fillId="0" borderId="1" applyAlignment="1" pivotButton="0" quotePrefix="0" xfId="3">
      <alignment horizontal="right"/>
    </xf>
    <xf numFmtId="165" fontId="6" fillId="0" borderId="1" applyAlignment="1" pivotButton="0" quotePrefix="0" xfId="4">
      <alignment horizontal="right"/>
    </xf>
    <xf numFmtId="168" fontId="6" fillId="2" borderId="0" applyAlignment="1" pivotButton="0" quotePrefix="0" xfId="4">
      <alignment horizontal="left"/>
    </xf>
    <xf numFmtId="165" fontId="6" fillId="2" borderId="1" applyAlignment="1" pivotButton="0" quotePrefix="0" xfId="4">
      <alignment horizontal="left"/>
    </xf>
    <xf numFmtId="168" fontId="6" fillId="0" borderId="0" pivotButton="0" quotePrefix="0" xfId="0"/>
    <xf numFmtId="165" fontId="6" fillId="2" borderId="0" applyAlignment="1" pivotButton="0" quotePrefix="0" xfId="4">
      <alignment horizontal="left"/>
    </xf>
    <xf numFmtId="181" fontId="6" fillId="0" borderId="0" applyAlignment="1" pivotButton="0" quotePrefix="0" xfId="5">
      <alignment horizontal="left"/>
    </xf>
    <xf numFmtId="185" fontId="6" fillId="0" borderId="0" applyAlignment="1" pivotButton="0" quotePrefix="0" xfId="4">
      <alignment horizontal="left"/>
    </xf>
    <xf numFmtId="164" fontId="6" fillId="0" borderId="0" pivotButton="0" quotePrefix="0" xfId="0"/>
    <xf numFmtId="168" fontId="6" fillId="3" borderId="0" applyAlignment="1" pivotButton="0" quotePrefix="0" xfId="4">
      <alignment horizontal="left"/>
    </xf>
    <xf numFmtId="165" fontId="6" fillId="3" borderId="1" applyAlignment="1" pivotButton="0" quotePrefix="0" xfId="4">
      <alignment horizontal="left"/>
    </xf>
    <xf numFmtId="169" fontId="6" fillId="0" borderId="1" applyAlignment="1" pivotButton="0" quotePrefix="0" xfId="3">
      <alignment horizontal="right"/>
    </xf>
    <xf numFmtId="180" fontId="6" fillId="0" borderId="5" applyAlignment="1" pivotButton="0" quotePrefix="0" xfId="4">
      <alignment horizontal="left"/>
    </xf>
    <xf numFmtId="165" fontId="6" fillId="0" borderId="0" applyAlignment="1" pivotButton="0" quotePrefix="0" xfId="5">
      <alignment horizontal="left"/>
    </xf>
    <xf numFmtId="165" fontId="6" fillId="0" borderId="1" applyAlignment="1" pivotButton="0" quotePrefix="0" xfId="5">
      <alignment horizontal="right"/>
    </xf>
    <xf numFmtId="165" fontId="10" fillId="0" borderId="0" applyAlignment="1" pivotButton="0" quotePrefix="0" xfId="4">
      <alignment horizontal="left"/>
    </xf>
    <xf numFmtId="166" fontId="10" fillId="0" borderId="0" applyAlignment="1" pivotButton="0" quotePrefix="0" xfId="4">
      <alignment horizontal="left"/>
    </xf>
    <xf numFmtId="172" fontId="10" fillId="0" borderId="0" applyAlignment="1" pivotButton="0" quotePrefix="0" xfId="4">
      <alignment horizontal="right"/>
    </xf>
    <xf numFmtId="166" fontId="10" fillId="0" borderId="0" applyAlignment="1" pivotButton="0" quotePrefix="0" xfId="4">
      <alignment horizontal="right"/>
    </xf>
    <xf numFmtId="186" fontId="10" fillId="0" borderId="0" applyAlignment="1" pivotButton="0" quotePrefix="0" xfId="4">
      <alignment horizontal="right"/>
    </xf>
    <xf numFmtId="164" fontId="10" fillId="0" borderId="0" pivotButton="0" quotePrefix="0" xfId="0"/>
    <xf numFmtId="173" fontId="10" fillId="0" borderId="0" applyAlignment="1" pivotButton="0" quotePrefix="0" xfId="3">
      <alignment horizontal="right"/>
    </xf>
    <xf numFmtId="164" fontId="10" fillId="0" borderId="0" applyAlignment="1" pivotButton="0" quotePrefix="0" xfId="0">
      <alignment horizontal="right"/>
    </xf>
    <xf numFmtId="166" fontId="6" fillId="0" borderId="0" applyAlignment="1" pivotButton="0" quotePrefix="0" xfId="4">
      <alignment horizontal="left"/>
    </xf>
    <xf numFmtId="174" fontId="11" fillId="0" borderId="0" applyAlignment="1" pivotButton="0" quotePrefix="0" xfId="2">
      <alignment horizontal="left"/>
    </xf>
    <xf numFmtId="175" fontId="6" fillId="0" borderId="0" applyAlignment="1" pivotButton="0" quotePrefix="0" xfId="3">
      <alignment horizontal="left"/>
    </xf>
    <xf numFmtId="174" fontId="6" fillId="0" borderId="0" applyAlignment="1" pivotButton="0" quotePrefix="0" xfId="2">
      <alignment horizontal="left"/>
    </xf>
    <xf numFmtId="165" fontId="6" fillId="0" borderId="2" applyAlignment="1" pivotButton="0" quotePrefix="0" xfId="4">
      <alignment horizontal="left"/>
    </xf>
    <xf numFmtId="165" fontId="6" fillId="0" borderId="3" applyAlignment="1" pivotButton="0" quotePrefix="0" xfId="4">
      <alignment horizontal="left"/>
    </xf>
    <xf numFmtId="165" fontId="6" fillId="0" borderId="4" applyAlignment="1" pivotButton="0" quotePrefix="0" xfId="4">
      <alignment horizontal="left"/>
    </xf>
    <xf numFmtId="180" fontId="6" fillId="0" borderId="0" applyAlignment="1" pivotButton="0" quotePrefix="1" xfId="5">
      <alignment horizontal="left"/>
    </xf>
    <xf numFmtId="182" fontId="12" fillId="0" borderId="0" applyAlignment="1" pivotButton="0" quotePrefix="1" xfId="1">
      <alignment horizontal="centerContinuous"/>
    </xf>
    <xf numFmtId="164" fontId="7" fillId="0" borderId="0" applyAlignment="1" pivotButton="0" quotePrefix="0" xfId="0">
      <alignment horizontal="centerContinuous"/>
    </xf>
    <xf numFmtId="176" fontId="12" fillId="0" borderId="0" applyAlignment="1" pivotButton="0" quotePrefix="1" xfId="1">
      <alignment horizontal="centerContinuous"/>
    </xf>
    <xf numFmtId="177" fontId="6" fillId="0" borderId="1" applyAlignment="1" pivotButton="0" quotePrefix="1" xfId="5">
      <alignment horizontal="right"/>
    </xf>
    <xf numFmtId="178" fontId="6" fillId="0" borderId="0" applyAlignment="1" pivotButton="0" quotePrefix="1" xfId="5">
      <alignment horizontal="left"/>
    </xf>
    <xf numFmtId="164" fontId="6" fillId="0" borderId="5" applyAlignment="1" pivotButton="0" quotePrefix="0" xfId="0">
      <alignment horizontal="left"/>
    </xf>
    <xf numFmtId="179" fontId="9" fillId="0" borderId="1" applyAlignment="1" pivotButton="0" quotePrefix="0" xfId="4">
      <alignment horizontal="right"/>
    </xf>
    <xf numFmtId="178" fontId="6" fillId="0" borderId="0" applyAlignment="1" pivotButton="0" quotePrefix="0" xfId="4">
      <alignment horizontal="left"/>
    </xf>
    <xf numFmtId="164" fontId="6" fillId="0" borderId="6" applyAlignment="1" pivotButton="0" quotePrefix="0" xfId="0">
      <alignment horizontal="left"/>
    </xf>
    <xf numFmtId="165" fontId="6" fillId="0" borderId="7" applyAlignment="1" pivotButton="0" quotePrefix="0" xfId="4">
      <alignment horizontal="left"/>
    </xf>
    <xf numFmtId="179" fontId="9" fillId="0" borderId="8" applyAlignment="1" pivotButton="0" quotePrefix="0" xfId="4">
      <alignment horizontal="right"/>
    </xf>
    <xf numFmtId="196" fontId="8" fillId="4" borderId="14" pivotButton="0" quotePrefix="0" xfId="15"/>
    <xf numFmtId="197" fontId="8" fillId="4" borderId="14" pivotButton="0" quotePrefix="0" xfId="15"/>
    <xf numFmtId="165" fontId="8" fillId="4" borderId="14" applyAlignment="1" pivotButton="0" quotePrefix="0" xfId="4">
      <alignment horizontal="center"/>
    </xf>
    <xf numFmtId="165" fontId="8" fillId="4" borderId="14" applyAlignment="1" pivotButton="0" quotePrefix="0" xfId="4">
      <alignment horizontal="center" wrapText="1"/>
    </xf>
    <xf numFmtId="165" fontId="6" fillId="4" borderId="14" applyAlignment="1" pivotButton="0" quotePrefix="0" xfId="4">
      <alignment horizontal="center"/>
    </xf>
    <xf numFmtId="196" fontId="14" fillId="4" borderId="14" pivotButton="0" quotePrefix="0" xfId="15"/>
    <xf numFmtId="197" fontId="14" fillId="4" borderId="14" pivotButton="0" quotePrefix="0" xfId="15"/>
    <xf numFmtId="196" fontId="14" fillId="0" borderId="0" pivotButton="0" quotePrefix="0" xfId="15"/>
    <xf numFmtId="197" fontId="8" fillId="0" borderId="0" pivotButton="0" quotePrefix="0" xfId="15"/>
    <xf numFmtId="164" fontId="8" fillId="10" borderId="80" applyAlignment="1" pivotButton="0" quotePrefix="0" xfId="0">
      <alignment vertical="center" wrapText="1"/>
    </xf>
    <xf numFmtId="0" fontId="0" fillId="0" borderId="50" pivotButton="0" quotePrefix="0" xfId="0"/>
    <xf numFmtId="0" fontId="0" fillId="0" borderId="51" pivotButton="0" quotePrefix="0" xfId="0"/>
    <xf numFmtId="164" fontId="15" fillId="10" borderId="81" applyAlignment="1" pivotButton="0" quotePrefix="0" xfId="0">
      <alignment horizontal="center" vertical="center" wrapText="1"/>
    </xf>
    <xf numFmtId="0" fontId="0" fillId="0" borderId="53" pivotButton="0" quotePrefix="0" xfId="0"/>
    <xf numFmtId="164" fontId="8" fillId="0" borderId="54" applyAlignment="1" pivotButton="0" quotePrefix="0" xfId="0">
      <alignment horizontal="left" vertical="center" wrapText="1"/>
    </xf>
    <xf numFmtId="164" fontId="8" fillId="0" borderId="75" applyAlignment="1" pivotButton="0" quotePrefix="0" xfId="0">
      <alignment horizontal="left" vertical="center" wrapText="1"/>
    </xf>
    <xf numFmtId="0" fontId="0" fillId="0" borderId="55" pivotButton="0" quotePrefix="0" xfId="0"/>
    <xf numFmtId="208" fontId="8" fillId="0" borderId="75" applyAlignment="1" pivotButton="0" quotePrefix="0" xfId="0">
      <alignment horizontal="left" vertical="center" wrapText="1"/>
    </xf>
    <xf numFmtId="164" fontId="8" fillId="0" borderId="56" applyAlignment="1" pivotButton="0" quotePrefix="0" xfId="0">
      <alignment horizontal="left" vertical="center" wrapText="1"/>
    </xf>
    <xf numFmtId="0" fontId="0" fillId="0" borderId="77" pivotButton="0" quotePrefix="0" xfId="0"/>
    <xf numFmtId="9" fontId="8" fillId="0" borderId="78" applyAlignment="1" pivotButton="0" quotePrefix="0" xfId="3">
      <alignment horizontal="left" vertical="center" wrapText="1"/>
    </xf>
    <xf numFmtId="0" fontId="0" fillId="0" borderId="59" pivotButton="0" quotePrefix="0" xfId="0"/>
    <xf numFmtId="164" fontId="14" fillId="11" borderId="79" applyAlignment="1" pivotButton="0" quotePrefix="0" xfId="0">
      <alignment horizontal="center" vertical="center" wrapText="1"/>
    </xf>
    <xf numFmtId="0" fontId="0" fillId="0" borderId="60" pivotButton="0" quotePrefix="0" xfId="0"/>
    <xf numFmtId="0" fontId="0" fillId="0" borderId="61" pivotButton="0" quotePrefix="0" xfId="0"/>
    <xf numFmtId="0" fontId="0" fillId="0" borderId="62" pivotButton="0" quotePrefix="0" xfId="0"/>
    <xf numFmtId="164" fontId="8" fillId="11" borderId="13" applyAlignment="1" pivotButton="0" quotePrefix="0" xfId="0">
      <alignment horizontal="center" vertical="center" wrapText="1"/>
    </xf>
    <xf numFmtId="164" fontId="8" fillId="11" borderId="65" applyAlignment="1" pivotButton="0" quotePrefix="0" xfId="0">
      <alignment horizontal="center" vertical="center" wrapText="1"/>
    </xf>
    <xf numFmtId="164" fontId="8" fillId="11" borderId="12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65" pivotButton="0" quotePrefix="0" xfId="0"/>
    <xf numFmtId="0" fontId="0" fillId="0" borderId="12" pivotButton="0" quotePrefix="0" xfId="0"/>
    <xf numFmtId="164" fontId="8" fillId="0" borderId="72" applyAlignment="1" pivotButton="0" quotePrefix="0" xfId="0">
      <alignment horizontal="center" vertical="center" wrapText="1"/>
    </xf>
    <xf numFmtId="196" fontId="8" fillId="0" borderId="67" applyAlignment="1" pivotButton="0" quotePrefix="0" xfId="0">
      <alignment horizontal="center" vertical="center" wrapText="1"/>
    </xf>
    <xf numFmtId="209" fontId="8" fillId="0" borderId="67" applyAlignment="1" pivotButton="0" quotePrefix="0" xfId="0">
      <alignment horizontal="center" vertical="center" wrapText="1"/>
    </xf>
    <xf numFmtId="197" fontId="48" fillId="0" borderId="73" applyAlignment="1" pivotButton="0" quotePrefix="0" xfId="0">
      <alignment horizontal="center" vertical="center" wrapText="1"/>
    </xf>
    <xf numFmtId="164" fontId="14" fillId="11" borderId="74" applyAlignment="1" pivotButton="0" quotePrefix="0" xfId="0">
      <alignment horizontal="center" vertical="center" wrapText="1"/>
    </xf>
    <xf numFmtId="164" fontId="14" fillId="11" borderId="72" applyAlignment="1" pivotButton="0" quotePrefix="0" xfId="0">
      <alignment horizontal="center" vertical="center" wrapText="1"/>
    </xf>
    <xf numFmtId="164" fontId="14" fillId="11" borderId="67" applyAlignment="1" pivotButton="0" quotePrefix="0" xfId="0">
      <alignment horizontal="center" vertical="center" wrapText="1"/>
    </xf>
    <xf numFmtId="164" fontId="14" fillId="11" borderId="73" applyAlignment="1" pivotButton="0" quotePrefix="0" xfId="0">
      <alignment horizontal="center" vertical="center" wrapText="1"/>
    </xf>
    <xf numFmtId="164" fontId="8" fillId="0" borderId="67" applyAlignment="1" pivotButton="0" quotePrefix="0" xfId="0">
      <alignment horizontal="center" vertical="center" wrapText="1"/>
    </xf>
    <xf numFmtId="164" fontId="48" fillId="0" borderId="67" applyAlignment="1" pivotButton="0" quotePrefix="0" xfId="0">
      <alignment horizontal="center" vertical="center" wrapText="1"/>
    </xf>
    <xf numFmtId="196" fontId="8" fillId="0" borderId="69" applyAlignment="1" pivotButton="0" quotePrefix="0" xfId="0">
      <alignment horizontal="center" vertical="center" wrapText="1"/>
    </xf>
    <xf numFmtId="211" fontId="8" fillId="0" borderId="69" applyAlignment="1" pivotButton="0" quotePrefix="0" xfId="0">
      <alignment horizontal="center" vertical="center" wrapText="1"/>
    </xf>
    <xf numFmtId="0" fontId="0" fillId="0" borderId="15" pivotButton="0" quotePrefix="0" xfId="0"/>
    <xf numFmtId="164" fontId="8" fillId="9" borderId="41" applyAlignment="1" pivotButton="0" quotePrefix="0" xfId="0">
      <alignment horizontal="left" vertical="center" wrapText="1"/>
    </xf>
    <xf numFmtId="0" fontId="0" fillId="0" borderId="42" pivotButton="0" quotePrefix="0" xfId="0"/>
    <xf numFmtId="164" fontId="45" fillId="9" borderId="42" applyAlignment="1" pivotButton="0" quotePrefix="0" xfId="0">
      <alignment horizontal="left" vertical="top" wrapText="1"/>
    </xf>
    <xf numFmtId="164" fontId="8" fillId="9" borderId="43" applyAlignment="1" pivotButton="0" quotePrefix="0" xfId="0">
      <alignment horizontal="left" vertical="center" wrapText="1"/>
    </xf>
    <xf numFmtId="0" fontId="0" fillId="0" borderId="43" pivotButton="0" quotePrefix="0" xfId="0"/>
    <xf numFmtId="164" fontId="45" fillId="9" borderId="82" applyAlignment="1" pivotButton="0" quotePrefix="0" xfId="0">
      <alignment horizontal="left" vertical="top" wrapText="1" indent="11"/>
    </xf>
    <xf numFmtId="0" fontId="0" fillId="0" borderId="45" pivotButton="0" quotePrefix="0" xfId="0"/>
    <xf numFmtId="0" fontId="0" fillId="0" borderId="46" pivotButton="0" quotePrefix="0" xfId="0"/>
    <xf numFmtId="164" fontId="45" fillId="9" borderId="47" applyAlignment="1" pivotButton="0" quotePrefix="0" xfId="0">
      <alignment vertical="top" wrapText="1"/>
    </xf>
    <xf numFmtId="164" fontId="45" fillId="9" borderId="47" applyAlignment="1" pivotButton="0" quotePrefix="0" xfId="0">
      <alignment horizontal="center" vertical="center" wrapText="1"/>
    </xf>
    <xf numFmtId="164" fontId="45" fillId="9" borderId="48" applyAlignment="1" pivotButton="0" quotePrefix="0" xfId="0">
      <alignment horizontal="center" vertical="center" wrapText="1"/>
    </xf>
    <xf numFmtId="164" fontId="23" fillId="0" borderId="17" applyAlignment="1" pivotButton="0" quotePrefix="0" xfId="0">
      <alignment horizontal="left" vertical="top" wrapText="1"/>
    </xf>
    <xf numFmtId="164" fontId="23" fillId="0" borderId="19" applyAlignment="1" pivotButton="0" quotePrefix="0" xfId="0">
      <alignment horizontal="left" vertical="top" wrapText="1"/>
    </xf>
    <xf numFmtId="164" fontId="23" fillId="0" borderId="19" applyAlignment="1" pivotButton="0" quotePrefix="0" xfId="0">
      <alignment horizontal="center" vertical="center" wrapText="1"/>
    </xf>
    <xf numFmtId="164" fontId="23" fillId="0" borderId="4" applyAlignment="1" pivotButton="0" quotePrefix="0" xfId="0">
      <alignment horizontal="center" vertical="center" wrapText="1"/>
    </xf>
    <xf numFmtId="164" fontId="23" fillId="0" borderId="0" applyAlignment="1" pivotButton="0" quotePrefix="0" xfId="0">
      <alignment horizontal="left" vertical="top" wrapText="1"/>
    </xf>
    <xf numFmtId="164" fontId="23" fillId="0" borderId="1" applyAlignment="1" pivotButton="0" quotePrefix="0" xfId="0">
      <alignment horizontal="center" vertical="center" wrapText="1"/>
    </xf>
    <xf numFmtId="164" fontId="23" fillId="0" borderId="17" applyAlignment="1" pivotButton="0" quotePrefix="0" xfId="0">
      <alignment horizontal="center" vertical="center" wrapText="1"/>
    </xf>
    <xf numFmtId="164" fontId="23" fillId="0" borderId="19" applyAlignment="1" pivotButton="0" quotePrefix="0" xfId="0">
      <alignment horizontal="center" vertical="top" wrapText="1"/>
    </xf>
    <xf numFmtId="164" fontId="23" fillId="0" borderId="19" applyAlignment="1" pivotButton="0" quotePrefix="0" xfId="0">
      <alignment vertical="top" wrapText="1"/>
    </xf>
    <xf numFmtId="164" fontId="23" fillId="0" borderId="1" applyAlignment="1" pivotButton="0" quotePrefix="0" xfId="0">
      <alignment horizontal="center" vertical="top" wrapText="1"/>
    </xf>
    <xf numFmtId="164" fontId="23" fillId="0" borderId="16" applyAlignment="1" pivotButton="0" quotePrefix="0" xfId="0">
      <alignment horizontal="left" vertical="top" wrapText="1"/>
    </xf>
    <xf numFmtId="196" fontId="44" fillId="0" borderId="19" applyAlignment="1" pivotButton="0" quotePrefix="0" xfId="0">
      <alignment vertical="top" shrinkToFit="1"/>
    </xf>
    <xf numFmtId="196" fontId="44" fillId="0" borderId="19" applyAlignment="1" pivotButton="0" quotePrefix="0" xfId="0">
      <alignment horizontal="center" vertical="top" shrinkToFit="1"/>
    </xf>
    <xf numFmtId="196" fontId="46" fillId="0" borderId="1" applyAlignment="1" pivotButton="0" quotePrefix="0" xfId="0">
      <alignment horizontal="center" vertical="top" shrinkToFit="1"/>
    </xf>
    <xf numFmtId="164" fontId="43" fillId="9" borderId="47" applyAlignment="1" pivotButton="0" quotePrefix="0" xfId="0">
      <alignment horizontal="center" vertical="center" wrapText="1"/>
    </xf>
    <xf numFmtId="164" fontId="44" fillId="0" borderId="17" applyAlignment="1" pivotButton="0" quotePrefix="0" xfId="0">
      <alignment horizontal="center" vertical="center" wrapText="1"/>
    </xf>
    <xf numFmtId="164" fontId="44" fillId="0" borderId="19" applyAlignment="1" pivotButton="0" quotePrefix="0" xfId="0">
      <alignment horizontal="center" vertical="center" wrapText="1"/>
    </xf>
    <xf numFmtId="164" fontId="44" fillId="0" borderId="0" applyAlignment="1" pivotButton="0" quotePrefix="0" xfId="0">
      <alignment vertical="center"/>
    </xf>
    <xf numFmtId="164" fontId="44" fillId="0" borderId="19" applyAlignment="1" pivotButton="0" quotePrefix="0" xfId="0">
      <alignment horizontal="left" vertical="center" wrapText="1"/>
    </xf>
    <xf numFmtId="196" fontId="44" fillId="0" borderId="0" applyAlignment="1" pivotButton="0" quotePrefix="0" xfId="0">
      <alignment vertical="center"/>
    </xf>
    <xf numFmtId="196" fontId="44" fillId="0" borderId="19" applyAlignment="1" pivotButton="0" quotePrefix="0" xfId="0">
      <alignment horizontal="left" vertical="center" wrapText="1"/>
    </xf>
    <xf numFmtId="196" fontId="44" fillId="0" borderId="19" applyAlignment="1" pivotButton="0" quotePrefix="0" xfId="0">
      <alignment horizontal="center" vertical="center" shrinkToFit="1"/>
    </xf>
    <xf numFmtId="164" fontId="44" fillId="0" borderId="16" applyAlignment="1" pivotButton="0" quotePrefix="0" xfId="0">
      <alignment horizontal="left" vertical="center" wrapText="1"/>
    </xf>
    <xf numFmtId="164" fontId="44" fillId="0" borderId="0" applyAlignment="1" pivotButton="0" quotePrefix="0" xfId="0">
      <alignment horizontal="left" vertical="center" wrapText="1"/>
    </xf>
    <xf numFmtId="164" fontId="44" fillId="7" borderId="19" applyAlignment="1" pivotButton="0" quotePrefix="0" xfId="0">
      <alignment horizontal="left" vertical="center" wrapText="1"/>
    </xf>
    <xf numFmtId="164" fontId="44" fillId="7" borderId="16" applyAlignment="1" pivotButton="0" quotePrefix="0" xfId="0">
      <alignment horizontal="left" vertical="center" wrapText="1"/>
    </xf>
    <xf numFmtId="164" fontId="8" fillId="7" borderId="0" pivotButton="0" quotePrefix="0" xfId="0"/>
    <xf numFmtId="164" fontId="8" fillId="0" borderId="19" applyAlignment="1" pivotButton="0" quotePrefix="0" xfId="0">
      <alignment horizontal="center" vertical="center" wrapText="1"/>
    </xf>
    <xf numFmtId="164" fontId="47" fillId="0" borderId="19" applyAlignment="1" pivotButton="0" quotePrefix="0" xfId="0">
      <alignment horizontal="center" vertical="center" wrapText="1"/>
    </xf>
    <xf numFmtId="196" fontId="47" fillId="0" borderId="19" applyAlignment="1" pivotButton="0" quotePrefix="0" xfId="0">
      <alignment horizontal="center" vertical="center" shrinkToFit="1"/>
    </xf>
    <xf numFmtId="196" fontId="8" fillId="0" borderId="19" applyAlignment="1" pivotButton="0" quotePrefix="0" xfId="0">
      <alignment horizontal="center" vertical="center" shrinkToFit="1"/>
    </xf>
    <xf numFmtId="164" fontId="8" fillId="0" borderId="0" applyAlignment="1" pivotButton="0" quotePrefix="0" xfId="0">
      <alignment vertical="center"/>
    </xf>
    <xf numFmtId="164" fontId="45" fillId="9" borderId="42" applyAlignment="1" pivotButton="0" quotePrefix="0" xfId="0">
      <alignment horizontal="left" vertical="center" wrapText="1"/>
    </xf>
    <xf numFmtId="164" fontId="45" fillId="9" borderId="82" applyAlignment="1" pivotButton="0" quotePrefix="0" xfId="0">
      <alignment horizontal="center" vertical="center" wrapText="1"/>
    </xf>
    <xf numFmtId="164" fontId="43" fillId="9" borderId="47" applyAlignment="1" pivotButton="0" quotePrefix="0" xfId="0">
      <alignment vertical="center" wrapText="1"/>
    </xf>
    <xf numFmtId="164" fontId="43" fillId="9" borderId="48" applyAlignment="1" pivotButton="0" quotePrefix="0" xfId="0">
      <alignment horizontal="center" vertical="center" wrapText="1"/>
    </xf>
    <xf numFmtId="164" fontId="44" fillId="0" borderId="17" applyAlignment="1" pivotButton="0" quotePrefix="0" xfId="0">
      <alignment horizontal="left" vertical="center" wrapText="1"/>
    </xf>
    <xf numFmtId="164" fontId="44" fillId="0" borderId="4" applyAlignment="1" pivotButton="0" quotePrefix="0" xfId="0">
      <alignment horizontal="center" vertical="center" wrapText="1"/>
    </xf>
    <xf numFmtId="164" fontId="44" fillId="0" borderId="1" applyAlignment="1" pivotButton="0" quotePrefix="0" xfId="0">
      <alignment horizontal="center" vertical="center" wrapText="1"/>
    </xf>
    <xf numFmtId="164" fontId="47" fillId="0" borderId="1" applyAlignment="1" pivotButton="0" quotePrefix="0" xfId="0">
      <alignment horizontal="center" vertical="center" wrapText="1"/>
    </xf>
    <xf numFmtId="196" fontId="47" fillId="0" borderId="19" applyAlignment="1" pivotButton="0" quotePrefix="0" xfId="0">
      <alignment horizontal="center" vertical="top" shrinkToFit="1"/>
    </xf>
    <xf numFmtId="164" fontId="8" fillId="0" borderId="0" pivotButton="0" quotePrefix="0" xfId="17"/>
    <xf numFmtId="202" fontId="8" fillId="0" borderId="0" pivotButton="0" quotePrefix="0" xfId="17"/>
    <xf numFmtId="164" fontId="4" fillId="0" borderId="0" pivotButton="0" quotePrefix="0" xfId="17"/>
    <xf numFmtId="202" fontId="8" fillId="0" borderId="0" applyAlignment="1" pivotButton="0" quotePrefix="1" xfId="17">
      <alignment horizontal="center"/>
    </xf>
    <xf numFmtId="164" fontId="8" fillId="0" borderId="0" pivotButton="0" quotePrefix="0" xfId="19"/>
    <xf numFmtId="164" fontId="39" fillId="8" borderId="22" applyAlignment="1" pivotButton="0" quotePrefix="0" xfId="19">
      <alignment horizontal="centerContinuous"/>
    </xf>
    <xf numFmtId="164" fontId="8" fillId="8" borderId="23" applyAlignment="1" pivotButton="0" quotePrefix="0" xfId="19">
      <alignment horizontal="centerContinuous"/>
    </xf>
    <xf numFmtId="164" fontId="8" fillId="8" borderId="24" applyAlignment="1" pivotButton="0" quotePrefix="0" xfId="19">
      <alignment horizontal="centerContinuous"/>
    </xf>
    <xf numFmtId="164" fontId="38" fillId="8" borderId="25" applyAlignment="1" pivotButton="0" quotePrefix="0" xfId="19">
      <alignment horizontal="centerContinuous"/>
    </xf>
    <xf numFmtId="164" fontId="8" fillId="8" borderId="7" applyAlignment="1" pivotButton="0" quotePrefix="0" xfId="19">
      <alignment horizontal="centerContinuous"/>
    </xf>
    <xf numFmtId="164" fontId="8" fillId="8" borderId="26" applyAlignment="1" pivotButton="0" quotePrefix="0" xfId="19">
      <alignment horizontal="centerContinuous"/>
    </xf>
    <xf numFmtId="164" fontId="8" fillId="8" borderId="27" pivotButton="0" quotePrefix="0" xfId="20"/>
    <xf numFmtId="164" fontId="39" fillId="0" borderId="8" applyAlignment="1" pivotButton="0" quotePrefix="0" xfId="20">
      <alignment horizontal="center"/>
    </xf>
    <xf numFmtId="164" fontId="14" fillId="0" borderId="26" applyAlignment="1" pivotButton="0" quotePrefix="0" xfId="20">
      <alignment horizontal="center"/>
    </xf>
    <xf numFmtId="164" fontId="8" fillId="0" borderId="28" pivotButton="0" quotePrefix="0" xfId="20"/>
    <xf numFmtId="166" fontId="8" fillId="0" borderId="1" pivotButton="0" quotePrefix="0" xfId="21"/>
    <xf numFmtId="164" fontId="13" fillId="0" borderId="28" pivotButton="0" quotePrefix="0" xfId="20"/>
    <xf numFmtId="164" fontId="14" fillId="0" borderId="30" pivotButton="0" quotePrefix="0" xfId="21"/>
    <xf numFmtId="166" fontId="14" fillId="0" borderId="31" pivotButton="0" quotePrefix="0" xfId="21"/>
    <xf numFmtId="197" fontId="1" fillId="0" borderId="0" pivotButton="0" quotePrefix="0" xfId="22"/>
  </cellXfs>
  <cellStyles count="24">
    <cellStyle name="Normal" xfId="0" builtinId="0"/>
    <cellStyle name="Comma" xfId="1" builtinId="3"/>
    <cellStyle name="Currency" xfId="2" builtinId="4"/>
    <cellStyle name="Percent" xfId="3" builtinId="5"/>
    <cellStyle name="Normal_WHLND2" xfId="4"/>
    <cellStyle name="Normal_TRELND" xfId="5"/>
    <cellStyle name="Normal_WHLND2 2" xfId="6"/>
    <cellStyle name="Normal 2" xfId="7"/>
    <cellStyle name="Normal_TRESAL (2)" xfId="8"/>
    <cellStyle name="Normal_Land" xfId="9"/>
    <cellStyle name="Normal_WHLND2_LandSal" xfId="10"/>
    <cellStyle name="Normal_LeaseComps" xfId="11"/>
    <cellStyle name="Normal_IncomUPON" xfId="12"/>
    <cellStyle name="Normal_IncomUPON " xfId="13"/>
    <cellStyle name="Normal_Mtg Eqty" xfId="14"/>
    <cellStyle name="Normal 3" xfId="15"/>
    <cellStyle name="Normal 3 2" xfId="16"/>
    <cellStyle name="Normal_Rglemp" xfId="17"/>
    <cellStyle name="Normal 2 2" xfId="18"/>
    <cellStyle name="Normal_Sutton.WRT" xfId="19"/>
    <cellStyle name="Normal_Berkshire" xfId="20"/>
    <cellStyle name="Normal_EBI " xfId="21"/>
    <cellStyle name="Normal 4" xfId="22"/>
    <cellStyle name="Percent 2" xfId="23"/>
  </cellStyles>
  <dxfs count="4"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externalLink" Target="/xl/externalLinks/externalLink1.xml" Id="rId18"/><Relationship Type="http://schemas.openxmlformats.org/officeDocument/2006/relationships/externalLink" Target="/xl/externalLinks/externalLink2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800" b="1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 xml:space="preserve">DSCR Gauge:   </a:t>
            </a:r>
            <a:r>
              <a:rPr lang="en-US" sz="1200"/>
              <a:t>Target DSCR =</a:t>
            </a:r>
          </a:p>
        </rich>
      </tx>
      <layout>
        <manualLayout>
          <xMode val="edge"/>
          <yMode val="edge"/>
          <wMode val="factor"/>
          <hMode val="factor"/>
          <x val="0.1507751531058617"/>
          <y val="0.06018518518518518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800" b="1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2812525934258218"/>
          <y val="0.2180770632837562"/>
          <w val="0.4361452318460192"/>
          <h val="0.6360451297754447"/>
        </manualLayout>
      </layout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3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bubble3D val="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</dPt>
          <dLbls>
            <spPr>
              <a:pattFill xmlns:a="http://schemas.openxmlformats.org/drawingml/2006/main"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0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cat>
            <strRef>
              <f>'Mtg Eqty'!$A$42:$A$44</f>
              <strCache>
                <ptCount val="3"/>
                <pt idx="0">
                  <v>Below Target</v>
                </pt>
                <pt idx="1">
                  <v>Above Target</v>
                </pt>
                <pt idx="2">
                  <v>Remaining (2x = MAX)</v>
                </pt>
              </strCache>
            </strRef>
          </cat>
          <val>
            <numRef>
              <f>'Mtg Eqty'!$C$42:$C$44</f>
              <numCache>
                <formatCode>0.00_)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1"/>
          <showBubbleSize val="0"/>
          <showLeaderLines val="1"/>
        </dLbls>
        <firstSliceAng val="270"/>
        <holeSize val="60"/>
      </doughnutChart>
    </plotArea>
    <legend>
      <legendPos val="b"/>
      <overlay val="0"/>
      <spPr>
        <a:solidFill xmlns:a="http://schemas.openxmlformats.org/drawingml/2006/main">
          <a:schemeClr val="lt1">
            <a:alpha val="39000"/>
            <a:lumMod val="95000"/>
          </a:schemeClr>
        </a:solidFill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xmlns:a="http://schemas.openxmlformats.org/drawingml/2006/main" w="9525" cap="flat" cmpd="sng" algn="ctr">
      <a:solidFill>
        <a:schemeClr val="dk1">
          <a:lumMod val="25000"/>
          <a:lumOff val="7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800" b="1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DSCR Gauge Target DSCR =</a:t>
            </a:r>
          </a:p>
        </rich>
      </tx>
      <layout>
        <manualLayout>
          <xMode val="edge"/>
          <yMode val="edge"/>
          <wMode val="factor"/>
          <hMode val="factor"/>
          <x val="0.07313829305819532"/>
          <y val="0.03732793400824897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800" b="1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4022988505747126"/>
          <y val="0.2466900637420323"/>
          <w val="0.9283093492623767"/>
          <h val="0.6153364829396325"/>
        </manualLayout>
      </layout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3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6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chemeClr val="bg2"/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pattFill xmlns:a="http://schemas.openxmlformats.org/drawingml/2006/main"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0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cat>
            <strRef>
              <f>'Mtg Eqty'!$A$42:$A$44</f>
              <strCache>
                <ptCount val="3"/>
                <pt idx="0">
                  <v>Below Target</v>
                </pt>
                <pt idx="1">
                  <v>Above Target</v>
                </pt>
                <pt idx="2">
                  <v>Remaining (2x = MAX)</v>
                </pt>
              </strCache>
            </strRef>
          </cat>
          <val>
            <numRef>
              <f>'Mtg Eqty'!$C$42:$C$44</f>
              <numCache>
                <formatCode>0.00_)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1"/>
          <showBubbleSize val="0"/>
          <showLeaderLines val="1"/>
        </dLbls>
        <firstSliceAng val="0"/>
        <holeSize val="50"/>
      </doughnutChart>
    </plotArea>
    <legend>
      <legendPos val="r"/>
      <layout>
        <manualLayout>
          <xMode val="edge"/>
          <yMode val="edge"/>
          <wMode val="factor"/>
          <hMode val="factor"/>
          <x val="0.1436781609195402"/>
          <y val="0.8460748406449193"/>
          <w val="0.6954022988505747"/>
          <h val="0.1380979377577803"/>
        </manualLayout>
      </layout>
      <overlay val="0"/>
      <spPr>
        <a:solidFill xmlns:a="http://schemas.openxmlformats.org/drawingml/2006/main">
          <a:schemeClr val="bg2"/>
        </a:solidFill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xmlns:a="http://schemas.openxmlformats.org/drawingml/2006/main" w="9525" cap="flat" cmpd="sng" algn="ctr">
      <a:solidFill>
        <a:schemeClr val="dk1">
          <a:lumMod val="25000"/>
          <a:lumOff val="7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800" b="1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Regional Unemployment Rates</a:t>
            </a:r>
          </a:p>
        </rich>
      </tx>
      <layout>
        <manualLayout>
          <xMode val="edge"/>
          <yMode val="edge"/>
          <wMode val="factor"/>
          <hMode val="factor"/>
          <x val="0.3578561392809954"/>
          <y val="0.0615862402674526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800" b="1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8204062194257414"/>
          <y val="0.1728680662477211"/>
          <w val="0.851319644572076"/>
          <h val="0.6960007115550116"/>
        </manualLayout>
      </layout>
      <barChart>
        <barDir val="col"/>
        <grouping val="clustered"/>
        <varyColors val="0"/>
        <ser>
          <idx val="0"/>
          <order val="0"/>
          <tx>
            <strRef>
              <f>Rglemp!$E$5</f>
              <strCache>
                <ptCount val="1"/>
                <pt idx="0">
                  <v>December 2025</v>
                </pt>
              </strCache>
            </strRef>
          </tx>
          <spPr>
            <a:solidFill xmlns:a="http://schemas.openxmlformats.org/drawingml/2006/main">
              <a:schemeClr val="accent1">
                <a:alpha val="85000"/>
              </a:schemeClr>
            </a:solidFill>
            <a:ln xmlns:a="http://schemas.openxmlformats.org/drawingml/2006/main"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solidFill xmlns:a="http://schemas.openxmlformats.org/drawingml/2006/main">
                <a:schemeClr val="tx1"/>
              </a:solidFill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Rglemp!$F$4:$K$4</f>
              <strCache>
                <ptCount val="6"/>
                <pt idx="0">
                  <v>Indiana</v>
                </pt>
                <pt idx="1">
                  <v>Illinois</v>
                </pt>
                <pt idx="2">
                  <v>Kentucky</v>
                </pt>
                <pt idx="3">
                  <v>Michigan</v>
                </pt>
                <pt idx="4">
                  <v>Ohio</v>
                </pt>
                <pt idx="5">
                  <v>U.S.</v>
                </pt>
              </strCache>
            </strRef>
          </cat>
          <val>
            <numRef>
              <f>Rglemp!$F$5:$K$5</f>
              <numCache>
                <formatCode>0.0%</formatCode>
                <ptCount val="6"/>
                <pt idx="0">
                  <v>0.035</v>
                </pt>
                <pt idx="1">
                  <v>0.046</v>
                </pt>
                <pt idx="2">
                  <v>0.045</v>
                </pt>
                <pt idx="3">
                  <v>0.05</v>
                </pt>
                <pt idx="4">
                  <v>0.045</v>
                </pt>
                <pt idx="5">
                  <v>0.044</v>
                </pt>
              </numCache>
            </numRef>
          </val>
        </ser>
        <ser>
          <idx val="1"/>
          <order val="1"/>
          <tx>
            <strRef>
              <f>Rglemp!$E$6</f>
              <strCache>
                <ptCount val="1"/>
                <pt idx="0">
                  <v>December 2024</v>
                </pt>
              </strCache>
            </strRef>
          </tx>
          <spPr>
            <a:solidFill xmlns:a="http://schemas.openxmlformats.org/drawingml/2006/main">
              <a:schemeClr val="accent2">
                <a:alpha val="85000"/>
              </a:schemeClr>
            </a:solidFill>
            <a:ln xmlns:a="http://schemas.openxmlformats.org/drawingml/2006/main"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in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Rglemp!$F$4:$K$4</f>
              <strCache>
                <ptCount val="6"/>
                <pt idx="0">
                  <v>Indiana</v>
                </pt>
                <pt idx="1">
                  <v>Illinois</v>
                </pt>
                <pt idx="2">
                  <v>Kentucky</v>
                </pt>
                <pt idx="3">
                  <v>Michigan</v>
                </pt>
                <pt idx="4">
                  <v>Ohio</v>
                </pt>
                <pt idx="5">
                  <v>U.S.</v>
                </pt>
              </strCache>
            </strRef>
          </cat>
          <val>
            <numRef>
              <f>Rglemp!$F$6:$K$6</f>
              <numCache>
                <formatCode>0.0%</formatCode>
                <ptCount val="6"/>
                <pt idx="0">
                  <v>0.045</v>
                </pt>
                <pt idx="1">
                  <v>0.052</v>
                </pt>
                <pt idx="2">
                  <v>0.052</v>
                </pt>
                <pt idx="3">
                  <v>0.05</v>
                </pt>
                <pt idx="4">
                  <v>0.044</v>
                </pt>
                <pt idx="5">
                  <v>0.041</v>
                </pt>
              </numCache>
            </numRef>
          </val>
        </ser>
        <ser>
          <idx val="2"/>
          <order val="2"/>
          <tx>
            <strRef>
              <f>Rglemp!$E$7</f>
              <strCache>
                <ptCount val="1"/>
                <pt idx="0">
                  <v>December 2023</v>
                </pt>
              </strCache>
            </strRef>
          </tx>
          <spPr>
            <a:solidFill xmlns:a="http://schemas.openxmlformats.org/drawingml/2006/main">
              <a:schemeClr val="accent3">
                <a:alpha val="85000"/>
              </a:schemeClr>
            </a:solidFill>
            <a:ln xmlns:a="http://schemas.openxmlformats.org/drawingml/2006/main"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in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Rglemp!$F$4:$K$4</f>
              <strCache>
                <ptCount val="6"/>
                <pt idx="0">
                  <v>Indiana</v>
                </pt>
                <pt idx="1">
                  <v>Illinois</v>
                </pt>
                <pt idx="2">
                  <v>Kentucky</v>
                </pt>
                <pt idx="3">
                  <v>Michigan</v>
                </pt>
                <pt idx="4">
                  <v>Ohio</v>
                </pt>
                <pt idx="5">
                  <v>U.S.</v>
                </pt>
              </strCache>
            </strRef>
          </cat>
          <val>
            <numRef>
              <f>Rglemp!$F$7:$K$7</f>
              <numCache>
                <formatCode>0.0%</formatCode>
                <ptCount val="6"/>
                <pt idx="0">
                  <v>0.035</v>
                </pt>
                <pt idx="1">
                  <v>0.047</v>
                </pt>
                <pt idx="2">
                  <v>0.043</v>
                </pt>
                <pt idx="3">
                  <v>0.041</v>
                </pt>
                <pt idx="4">
                  <v>0.036</v>
                </pt>
                <pt idx="5">
                  <v>0.038</v>
                </pt>
              </numCache>
            </numRef>
          </val>
        </ser>
        <dLbls>
          <dLblPos val="inEnd"/>
          <showLegendKey val="0"/>
          <showVal val="1"/>
          <showCatName val="0"/>
          <showSerName val="0"/>
          <showPercent val="0"/>
          <showBubbleSize val="0"/>
        </dLbls>
        <gapWidth val="65"/>
        <axId val="1162017152"/>
        <axId val="1"/>
      </barChart>
      <catAx>
        <axId val="116201715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9050" cap="flat" cmpd="sng" algn="ctr">
            <a:solidFill>
              <a:schemeClr val="dk1">
                <a:lumMod val="75000"/>
                <a:lumOff val="25000"/>
              </a:schemeClr>
            </a:solidFill>
            <a:prstDash val="solid"/>
            <a:round/>
          </a:ln>
        </spPr>
        <txPr>
          <a:bodyPr xmlns:a="http://schemas.openxmlformats.org/drawingml/2006/main" rot="0" spcFirstLastPara="1" vertOverflow="ellipsis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"/>
        <crosses val="autoZero"/>
        <auto val="0"/>
        <lblAlgn val="ctr"/>
        <lblOffset val="100"/>
        <tickLblSkip val="1"/>
        <tickMarkSkip val="1"/>
        <noMultiLvlLbl val="0"/>
      </catAx>
      <valAx>
        <axId val="1"/>
        <scaling>
          <orientation val="minMax"/>
          <max val="0.08"/>
          <min val="0.03"/>
        </scaling>
        <delete val="1"/>
        <axPos val="l"/>
        <majorGridlines>
          <spPr>
            <a:ln xmlns:a="http://schemas.openxmlformats.org/drawingml/2006/main" w="9525" cap="flat" cmpd="sng" algn="ctr">
              <a:gradFill>
                <a:gsLst>
                  <a:gs pos="100000">
                    <a:schemeClr val="dk1">
                      <a:alpha val="42000"/>
                      <a:lumMod val="95000"/>
                      <a:lumOff val="5000"/>
                    </a:schemeClr>
                  </a:gs>
                  <a:gs pos="0">
                    <a:schemeClr val="lt1">
                      <a:alpha val="36000"/>
                      <a:lumMod val="75000"/>
                    </a:schemeClr>
                  </a:gs>
                </a:gsLst>
                <a:lin ang="5400000" scaled="0"/>
              </a:gradFill>
              <a:prstDash val="solid"/>
              <a:round/>
            </a:ln>
          </spPr>
        </majorGridlines>
        <numFmt formatCode="0.0%" sourceLinked="1"/>
        <majorTickMark val="none"/>
        <minorTickMark val="none"/>
        <tickLblPos val="nextTo"/>
        <crossAx val="1162017152"/>
        <crosses val="autoZero"/>
        <crossBetween val="between"/>
        <minorUnit val="0.002"/>
      </valAx>
    </plotArea>
    <legend>
      <legendPos val="b"/>
      <layout>
        <manualLayout>
          <xMode val="edge"/>
          <yMode val="edge"/>
          <wMode val="factor"/>
          <hMode val="factor"/>
          <x val="0.3454046717964355"/>
          <y val="0.1753703133477031"/>
          <w val="0.3681822801762536"/>
          <h val="0.06284960190032113"/>
        </manualLayout>
      </layout>
      <overlay val="0"/>
      <spPr>
        <a:solidFill xmlns:a="http://schemas.openxmlformats.org/drawingml/2006/main">
          <a:schemeClr val="lt1">
            <a:alpha val="39000"/>
            <a:lumMod val="95000"/>
          </a:schemeClr>
        </a:solidFill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xmlns:a="http://schemas.openxmlformats.org/drawingml/2006/main" w="9525" cap="flat" cmpd="sng" algn="ctr">
      <a:solidFill>
        <a:schemeClr val="dk1">
          <a:lumMod val="25000"/>
          <a:lumOff val="75000"/>
        </a:schemeClr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en-US"/>
              <a:t>Historical Southport/Edgewood Net Absorption</a:t>
            </a:r>
          </a:p>
        </rich>
      </tx>
      <layout>
        <manualLayout>
          <xMode val="edge"/>
          <yMode val="edge"/>
          <wMode val="factor"/>
          <hMode val="factor"/>
          <x val="0.143726146066742"/>
          <y val="0.06351225519048419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spc="100" baseline="0">
              <a:solidFill>
                <a:schemeClr val="lt1">
                  <a:lumMod val="95000"/>
                </a:schemeClr>
              </a:solidFill>
              <effectLst>
                <a:outerShdw blurRad="50800" dist="38100" dir="5400000" algn="t" rotWithShape="0">
                  <a:prstClr val="black"/>
                </a:outerShdw>
              </effectLst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528350699093672"/>
          <y val="0.2731519998095356"/>
          <w val="0.7962518457006538"/>
          <h val="0.5931759824461998"/>
        </manualLayout>
      </layout>
      <barChart>
        <barDir val="col"/>
        <grouping val="clustered"/>
        <varyColors val="0"/>
        <ser>
          <idx val="0"/>
          <order val="0"/>
          <spPr>
            <a:gradFill xmlns:a="http://schemas.openxmlformats.org/drawingml/2006/main"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rgbClr val="FFC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'Carmel Absorption'!$B$3:$G$3</f>
              <strCache>
                <ptCount val="6"/>
                <pt idx="0">
                  <v xml:space="preserve">2021 </v>
                </pt>
                <pt idx="1">
                  <v xml:space="preserve">2022 </v>
                </pt>
                <pt idx="2">
                  <v xml:space="preserve">2023 </v>
                </pt>
                <pt idx="3">
                  <v xml:space="preserve">2024 </v>
                </pt>
                <pt idx="4">
                  <v xml:space="preserve">2025 </v>
                </pt>
                <pt idx="5">
                  <v>4Q 2025</v>
                </pt>
              </strCache>
            </strRef>
          </cat>
          <val>
            <numRef>
              <f>'Carmel Absorption'!$B$4:$G$4</f>
              <numCache>
                <formatCode>#,##0</formatCode>
                <ptCount val="6"/>
                <pt idx="0">
                  <v>-10013</v>
                </pt>
                <pt idx="1">
                  <v>-32376</v>
                </pt>
                <pt idx="2">
                  <v>20383</v>
                </pt>
                <pt idx="3">
                  <v>121033</v>
                </pt>
                <pt idx="4">
                  <v>-51716</v>
                </pt>
                <pt idx="5">
                  <v>1060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100"/>
        <overlap val="-24"/>
        <axId val="1902105312"/>
        <axId val="1"/>
      </barChart>
      <catAx>
        <axId val="190210531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lt1">
                <a:alpha val="54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0" spcFirstLastPara="1" vertOverflow="ellipsis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"/>
        <crossesAt val="0"/>
        <auto val="0"/>
        <lblAlgn val="ctr"/>
        <lblOffset val="100"/>
        <tickLblSkip val="1"/>
        <tickMarkSkip val="1"/>
        <noMultiLvlLbl val="0"/>
      </catAx>
      <valAx>
        <axId val="1"/>
        <scaling>
          <orientation val="minMax"/>
          <min val="-7500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numFmt formatCode="#,##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0" spcFirstLastPara="1" vertOverflow="ellipsis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902105312"/>
        <crosses val="autoZero"/>
        <crossBetween val="between"/>
      </valAx>
    </plotArea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25" b="1" i="0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/>
              <a:t>Median Household Income</a:t>
            </a:r>
          </a:p>
        </rich>
      </tx>
      <layout>
        <manualLayout>
          <xMode val="edge"/>
          <yMode val="edge"/>
          <wMode val="factor"/>
          <hMode val="factor"/>
          <x val="0.6203949145085187"/>
          <y val="0.04623837214694453"/>
        </manualLayout>
      </layout>
      <overlay val="0"/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title>
    <view3D>
      <rotX val="15"/>
      <rotY val="20"/>
      <rAngAx val="1"/>
    </view3D>
    <floor>
      <thickness val="0"/>
      <spPr>
        <a:solidFill xmlns:a="http://schemas.openxmlformats.org/drawingml/2006/main">
          <a:srgbClr val="C0C0C0"/>
        </a:solidFill>
        <a:ln xmlns:a="http://schemas.openxmlformats.org/drawingml/2006/main" w="3175">
          <a:solidFill>
            <a:srgbClr val="000000"/>
          </a:solidFill>
          <a:prstDash val="solid"/>
        </a:ln>
      </spPr>
    </floor>
    <sideWall>
      <thickness val="0"/>
      <spPr>
        <a:solidFill xmlns:a="http://schemas.openxmlformats.org/drawingml/2006/main">
          <a:srgbClr val="FFFFCC"/>
        </a:solidFill>
        <a:ln xmlns:a="http://schemas.openxmlformats.org/drawingml/2006/main" w="12700">
          <a:solidFill>
            <a:srgbClr val="808080"/>
          </a:solidFill>
          <a:prstDash val="solid"/>
        </a:ln>
      </spPr>
    </sideWall>
    <backWall>
      <thickness val="0"/>
      <spPr>
        <a:solidFill xmlns:a="http://schemas.openxmlformats.org/drawingml/2006/main">
          <a:srgbClr val="FFFFCC"/>
        </a:solidFill>
        <a:ln xmlns:a="http://schemas.openxmlformats.org/drawingml/2006/main" w="12700">
          <a:solidFill>
            <a:srgbClr val="808080"/>
          </a:solidFill>
          <a:prstDash val="solid"/>
        </a:ln>
      </spPr>
    </backWall>
    <plotArea>
      <layout>
        <manualLayout>
          <layoutTarget val="inner"/>
          <xMode val="edge"/>
          <yMode val="edge"/>
          <wMode val="factor"/>
          <hMode val="factor"/>
          <x val="0.1419487809688529"/>
          <y val="0.08322491490683806"/>
          <w val="0.8092327765387709"/>
          <h val="0.6617270897674894"/>
        </manualLayout>
      </layout>
      <bar3DChart>
        <barDir val="bar"/>
        <grouping val="clustered"/>
        <varyColors val="0"/>
        <ser>
          <idx val="0"/>
          <order val="0"/>
          <tx>
            <strRef>
              <f>'EBI (4)'!$D$5</f>
              <strCache>
                <ptCount val="1"/>
                <pt idx="0">
                  <v>Year - 2024</v>
                </pt>
              </strCache>
            </strRef>
          </tx>
          <spPr>
            <a:solidFill xmlns:a="http://schemas.openxmlformats.org/drawingml/2006/main">
              <a:srgbClr val="333333"/>
            </a:solidFill>
            <a:ln xmlns:a="http://schemas.openxmlformats.org/drawingml/2006/main" w="12700">
              <a:solidFill>
                <a:srgbClr val="000000"/>
              </a:solidFill>
              <a:prstDash val="solid"/>
            </a:ln>
          </spPr>
          <invertIfNegative val="0"/>
          <cat>
            <strRef>
              <f>'EBI (4)'!$B$6:$B$9</f>
              <strCache>
                <ptCount val="4"/>
                <pt idx="0">
                  <v>Nation</v>
                </pt>
                <pt idx="1">
                  <v>Indiana</v>
                </pt>
                <pt idx="2">
                  <v>Indianapolis MSA</v>
                </pt>
                <pt idx="3">
                  <v>Marion County</v>
                </pt>
              </strCache>
            </strRef>
          </cat>
          <val>
            <numRef>
              <f>'EBI (4)'!$D$6:$D$9</f>
              <numCache>
                <formatCode>"$"#,##0_);\("$"#,##0\)</formatCode>
                <ptCount val="4"/>
                <pt idx="0">
                  <v>80734</v>
                </pt>
                <pt idx="1">
                  <v>71957</v>
                </pt>
                <pt idx="2">
                  <v>79852</v>
                </pt>
                <pt idx="3">
                  <v>66346</v>
                </pt>
              </numCache>
            </numRef>
          </val>
        </ser>
        <ser>
          <idx val="1"/>
          <order val="1"/>
          <tx>
            <strRef>
              <f>'EBI (4)'!$C$5</f>
              <strCache>
                <ptCount val="1"/>
                <pt idx="0">
                  <v>Year - 2020</v>
                </pt>
              </strCache>
            </strRef>
          </tx>
          <spPr>
            <a:solidFill xmlns:a="http://schemas.openxmlformats.org/drawingml/2006/main">
              <a:srgbClr val="C0C0C0"/>
            </a:solidFill>
            <a:ln xmlns:a="http://schemas.openxmlformats.org/drawingml/2006/main" w="12700">
              <a:solidFill>
                <a:srgbClr val="000000"/>
              </a:solidFill>
              <a:prstDash val="solid"/>
            </a:ln>
          </spPr>
          <invertIfNegative val="0"/>
          <cat>
            <strRef>
              <f>'EBI (4)'!$B$6:$B$9</f>
              <strCache>
                <ptCount val="4"/>
                <pt idx="0">
                  <v>Nation</v>
                </pt>
                <pt idx="1">
                  <v>Indiana</v>
                </pt>
                <pt idx="2">
                  <v>Indianapolis MSA</v>
                </pt>
                <pt idx="3">
                  <v>Marion County</v>
                </pt>
              </strCache>
            </strRef>
          </cat>
          <val>
            <numRef>
              <f>'EBI (4)'!$C$6:$C$9</f>
              <numCache>
                <formatCode>"$"#,##0_);\("$"#,##0\)</formatCode>
                <ptCount val="4"/>
                <pt idx="0">
                  <v>64994</v>
                </pt>
                <pt idx="1">
                  <v>58235</v>
                </pt>
                <pt idx="2">
                  <v>63545</v>
                </pt>
                <pt idx="3">
                  <v>51219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gapDepth val="150"/>
        <shape val="box"/>
        <axId val="1413899584"/>
        <axId val="1"/>
        <axId val="1000"/>
      </bar3DChart>
      <catAx>
        <axId val="1413899584"/>
        <scaling>
          <orientation val="minMax"/>
        </scaling>
        <delete val="0"/>
        <axPos val="l"/>
        <numFmt formatCode="General" sourceLinked="1"/>
        <majorTickMark val="out"/>
        <minorTickMark val="none"/>
        <tickLblPos val="low"/>
        <spPr>
          <a:ln xmlns:a="http://schemas.openxmlformats.org/drawingml/2006/main" w="3175">
            <a:solidFill>
              <a:srgbClr val="000000"/>
            </a:solidFill>
            <a:prstDash val="solid"/>
          </a:ln>
        </spPr>
        <txPr>
          <a:bodyPr xmlns:a="http://schemas.openxmlformats.org/drawingml/2006/main" rot="0" vert="horz"/>
          <a:lstStyle xmlns:a="http://schemas.openxmlformats.org/drawingml/2006/main"/>
          <a:p xmlns:a="http://schemas.openxmlformats.org/drawingml/2006/main">
            <a:pPr>
              <a:defRPr sz="800" b="0" i="0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None</a:t>
            </a:r>
            <a:endParaRPr lang="en-US"/>
          </a:p>
        </txPr>
        <crossAx val="1"/>
        <crosses val="autoZero"/>
        <auto val="0"/>
        <lblAlgn val="ctr"/>
        <lblOffset val="100"/>
        <tickLblSkip val="1"/>
        <tickMarkSkip val="1"/>
        <noMultiLvlLbl val="0"/>
      </catAx>
      <valAx>
        <axId val="1"/>
        <scaling>
          <orientation val="minMax"/>
          <min val="45000"/>
        </scaling>
        <delete val="0"/>
        <axPos val="b"/>
        <majorGridlines>
          <spPr>
            <a:ln xmlns:a="http://schemas.openxmlformats.org/drawingml/2006/main" w="3175">
              <a:solidFill>
                <a:srgbClr val="000000"/>
              </a:solidFill>
              <a:prstDash val="solid"/>
            </a:ln>
          </spPr>
        </majorGridlines>
        <numFmt formatCode="&quot;$&quot;#,##0_);\(&quot;$&quot;#,##0\)" sourceLinked="1"/>
        <majorTickMark val="out"/>
        <minorTickMark val="none"/>
        <tickLblPos val="nextTo"/>
        <spPr>
          <a:ln xmlns:a="http://schemas.openxmlformats.org/drawingml/2006/main" w="3175">
            <a:solidFill>
              <a:srgbClr val="000000"/>
            </a:solidFill>
            <a:prstDash val="solid"/>
          </a:ln>
        </spPr>
        <txPr>
          <a:bodyPr xmlns:a="http://schemas.openxmlformats.org/drawingml/2006/main" rot="0" vert="horz"/>
          <a:lstStyle xmlns:a="http://schemas.openxmlformats.org/drawingml/2006/main"/>
          <a:p xmlns:a="http://schemas.openxmlformats.org/drawingml/2006/main">
            <a:pPr>
              <a:defRPr sz="800" b="0" i="0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None</a:t>
            </a:r>
            <a:endParaRPr lang="en-US"/>
          </a:p>
        </txPr>
        <crossAx val="1413899584"/>
        <crosses val="autoZero"/>
        <crossBetween val="between"/>
        <majorUnit val="10000"/>
        <minorUnit val="500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25400">
      <a:solidFill>
        <a:srgbClr val="000000"/>
      </a:solidFill>
      <a:prstDash val="solid"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800" b="1" i="0" strike="noStrike" kern="1200" baseline="0">
                <a:ln>
                  <a:noFill/>
                  <a:prstDash val="solid"/>
                </a:ln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n>
                  <a:noFill/>
                  <a:prstDash val="solid"/>
                </a:ln>
              </a:rPr>
              <a:t>Median Household Income</a:t>
            </a:r>
          </a:p>
        </rich>
      </tx>
      <layout>
        <manualLayout>
          <xMode val="edge"/>
          <yMode val="edge"/>
          <wMode val="factor"/>
          <hMode val="factor"/>
          <x val="0.1138545574473348"/>
          <y val="0.07468181464636878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800" b="1" i="0" strike="noStrike" kern="1200" baseline="0">
              <a:ln>
                <a:noFill/>
                <a:prstDash val="solid"/>
              </a:ln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6457242582897033"/>
          <y val="0.05272356035991282"/>
          <w val="0.9162303664921466"/>
          <h val="0.7603115164485256"/>
        </manualLayout>
      </layout>
      <lineChart>
        <grouping val="stacked"/>
        <varyColors val="0"/>
        <ser>
          <idx val="0"/>
          <order val="0"/>
          <tx>
            <strRef>
              <f>'IN Indy MSA (2)'!$A$3</f>
              <strCache>
                <ptCount val="1"/>
                <pt idx="0">
                  <v>Perry township</v>
                </pt>
              </strCache>
            </strRef>
          </tx>
          <spPr>
            <a:ln xmlns:a="http://schemas.openxmlformats.org/drawingml/2006/main" w="317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17"/>
            <spPr>
              <a:solidFill xmlns:a="http://schemas.openxmlformats.org/drawingml/2006/main">
                <a:schemeClr val="accent1"/>
              </a:solidFill>
              <a:ln xmlns:a="http://schemas.openxmlformats.org/drawingml/2006/main">
                <a:noFill/>
                <a:prstDash val="solid"/>
              </a:ln>
            </spPr>
          </marker>
          <dLbls>
            <delete val="1"/>
          </dLbls>
          <cat>
            <numRef>
              <f>'IN Indy MSA (2)'!$B$2:$L$2</f>
              <numCache>
                <formatCode>General</formatCode>
                <ptCount val="11"/>
                <pt idx="0">
                  <v>2014</v>
                </pt>
                <pt idx="1">
                  <v>2015</v>
                </pt>
                <pt idx="2">
                  <v>2016</v>
                </pt>
                <pt idx="3">
                  <v>2017</v>
                </pt>
                <pt idx="4">
                  <v>2018</v>
                </pt>
                <pt idx="5">
                  <v>2019</v>
                </pt>
                <pt idx="6">
                  <v>2020</v>
                </pt>
                <pt idx="7">
                  <v>2021</v>
                </pt>
                <pt idx="8">
                  <v>2022</v>
                </pt>
                <pt idx="9">
                  <v>2023</v>
                </pt>
                <pt idx="10">
                  <v>2024</v>
                </pt>
              </numCache>
            </numRef>
          </cat>
          <val>
            <numRef>
              <f>'IN Indy MSA (2)'!$B$3:$L$3</f>
              <numCache>
                <formatCode>"$"#,##0.00</formatCode>
                <ptCount val="11"/>
                <pt idx="0">
                  <v>44563</v>
                </pt>
                <pt idx="1">
                  <v>44302</v>
                </pt>
                <pt idx="2">
                  <v>45151</v>
                </pt>
                <pt idx="3">
                  <v>46151</v>
                </pt>
                <pt idx="4">
                  <v>48819</v>
                </pt>
                <pt idx="5">
                  <v>50754</v>
                </pt>
                <pt idx="6">
                  <v>53604</v>
                </pt>
                <pt idx="7">
                  <v>57176</v>
                </pt>
                <pt idx="8">
                  <v>61165</v>
                </pt>
                <pt idx="9">
                  <v>63866</v>
                </pt>
                <pt idx="10">
                  <v>66897</v>
                </pt>
              </numCache>
            </numRef>
          </val>
          <smooth val="0"/>
        </ser>
        <ser>
          <idx val="1"/>
          <order val="1"/>
          <tx>
            <strRef>
              <f>'IN Indy MSA (2)'!$A$4</f>
              <strCache>
                <ptCount val="1"/>
                <pt idx="0">
                  <v>Marion County</v>
                </pt>
              </strCache>
            </strRef>
          </tx>
          <spPr>
            <a:ln xmlns:a="http://schemas.openxmlformats.org/drawingml/2006/main" w="31750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17"/>
            <spPr>
              <a:solidFill xmlns:a="http://schemas.openxmlformats.org/drawingml/2006/main">
                <a:schemeClr val="accent2"/>
              </a:solidFill>
              <a:ln xmlns:a="http://schemas.openxmlformats.org/drawingml/2006/main">
                <a:noFill/>
                <a:prstDash val="solid"/>
              </a:ln>
            </spPr>
          </marker>
          <dLbls>
            <delete val="1"/>
          </dLbls>
          <cat>
            <numRef>
              <f>'IN Indy MSA (2)'!$B$2:$L$2</f>
              <numCache>
                <formatCode>General</formatCode>
                <ptCount val="11"/>
                <pt idx="0">
                  <v>2014</v>
                </pt>
                <pt idx="1">
                  <v>2015</v>
                </pt>
                <pt idx="2">
                  <v>2016</v>
                </pt>
                <pt idx="3">
                  <v>2017</v>
                </pt>
                <pt idx="4">
                  <v>2018</v>
                </pt>
                <pt idx="5">
                  <v>2019</v>
                </pt>
                <pt idx="6">
                  <v>2020</v>
                </pt>
                <pt idx="7">
                  <v>2021</v>
                </pt>
                <pt idx="8">
                  <v>2022</v>
                </pt>
                <pt idx="9">
                  <v>2023</v>
                </pt>
                <pt idx="10">
                  <v>2024</v>
                </pt>
              </numCache>
            </numRef>
          </cat>
          <val>
            <numRef>
              <f>'IN Indy MSA (2)'!$B$4:$L$4</f>
              <numCache>
                <formatCode>"$"#,##0.00</formatCode>
                <ptCount val="11"/>
                <pt idx="0">
                  <v>42378</v>
                </pt>
                <pt idx="1">
                  <v>42168</v>
                </pt>
                <pt idx="2">
                  <v>43369</v>
                </pt>
                <pt idx="3">
                  <v>44869</v>
                </pt>
                <pt idx="4">
                  <v>46692</v>
                </pt>
                <pt idx="5">
                  <v>48316</v>
                </pt>
                <pt idx="6">
                  <v>51219</v>
                </pt>
                <pt idx="7">
                  <v>54601</v>
                </pt>
                <pt idx="8">
                  <v>59504</v>
                </pt>
                <pt idx="9">
                  <v>63450</v>
                </pt>
                <pt idx="10">
                  <v>66346</v>
                </pt>
              </numCache>
            </numRef>
          </val>
          <smooth val="0"/>
        </ser>
        <ser>
          <idx val="2"/>
          <order val="2"/>
          <tx>
            <strRef>
              <f>'IN Indy MSA (2)'!$A$5</f>
              <strCache>
                <ptCount val="1"/>
                <pt idx="0">
                  <v>Indianapolis MSA</v>
                </pt>
              </strCache>
            </strRef>
          </tx>
          <spPr>
            <a:ln xmlns:a="http://schemas.openxmlformats.org/drawingml/2006/main" w="31750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17"/>
            <spPr>
              <a:solidFill xmlns:a="http://schemas.openxmlformats.org/drawingml/2006/main">
                <a:schemeClr val="accent3"/>
              </a:solidFill>
              <a:ln xmlns:a="http://schemas.openxmlformats.org/drawingml/2006/main">
                <a:noFill/>
                <a:prstDash val="solid"/>
              </a:ln>
            </spPr>
          </marker>
          <dLbls>
            <delete val="1"/>
          </dLbls>
          <cat>
            <numRef>
              <f>'IN Indy MSA (2)'!$B$2:$L$2</f>
              <numCache>
                <formatCode>General</formatCode>
                <ptCount val="11"/>
                <pt idx="0">
                  <v>2014</v>
                </pt>
                <pt idx="1">
                  <v>2015</v>
                </pt>
                <pt idx="2">
                  <v>2016</v>
                </pt>
                <pt idx="3">
                  <v>2017</v>
                </pt>
                <pt idx="4">
                  <v>2018</v>
                </pt>
                <pt idx="5">
                  <v>2019</v>
                </pt>
                <pt idx="6">
                  <v>2020</v>
                </pt>
                <pt idx="7">
                  <v>2021</v>
                </pt>
                <pt idx="8">
                  <v>2022</v>
                </pt>
                <pt idx="9">
                  <v>2023</v>
                </pt>
                <pt idx="10">
                  <v>2024</v>
                </pt>
              </numCache>
            </numRef>
          </cat>
          <val>
            <numRef>
              <f>'IN Indy MSA (2)'!$B$5:$L$5</f>
              <numCache>
                <formatCode>"$"#,##0.00</formatCode>
                <ptCount val="11"/>
                <pt idx="0">
                  <v>52434</v>
                </pt>
                <pt idx="1">
                  <v>52842</v>
                </pt>
                <pt idx="2">
                  <v>54261</v>
                </pt>
                <pt idx="3">
                  <v>56528</v>
                </pt>
                <pt idx="4">
                  <v>59232</v>
                </pt>
                <pt idx="5">
                  <v>61552</v>
                </pt>
                <pt idx="6">
                  <v>63545</v>
                </pt>
                <pt idx="7">
                  <v>67330</v>
                </pt>
                <pt idx="8">
                  <v>73571</v>
                </pt>
                <pt idx="9">
                  <v>77065</v>
                </pt>
                <pt idx="10">
                  <v>79852</v>
                </pt>
              </numCache>
            </numRef>
          </val>
          <smooth val="0"/>
        </ser>
        <ser>
          <idx val="3"/>
          <order val="3"/>
          <tx>
            <strRef>
              <f>'IN Indy MSA (2)'!$A$6</f>
              <strCache>
                <ptCount val="1"/>
                <pt idx="0">
                  <v>Indiana</v>
                </pt>
              </strCache>
            </strRef>
          </tx>
          <spPr>
            <a:ln xmlns:a="http://schemas.openxmlformats.org/drawingml/2006/main" w="31750" cap="rnd">
              <a:solidFill>
                <a:schemeClr val="accent4"/>
              </a:solidFill>
              <a:prstDash val="solid"/>
              <a:round/>
            </a:ln>
          </spPr>
          <marker>
            <symbol val="circle"/>
            <size val="17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marker>
          <dLbls>
            <delete val="1"/>
          </dLbls>
          <cat>
            <numRef>
              <f>'IN Indy MSA (2)'!$B$2:$L$2</f>
              <numCache>
                <formatCode>General</formatCode>
                <ptCount val="11"/>
                <pt idx="0">
                  <v>2014</v>
                </pt>
                <pt idx="1">
                  <v>2015</v>
                </pt>
                <pt idx="2">
                  <v>2016</v>
                </pt>
                <pt idx="3">
                  <v>2017</v>
                </pt>
                <pt idx="4">
                  <v>2018</v>
                </pt>
                <pt idx="5">
                  <v>2019</v>
                </pt>
                <pt idx="6">
                  <v>2020</v>
                </pt>
                <pt idx="7">
                  <v>2021</v>
                </pt>
                <pt idx="8">
                  <v>2022</v>
                </pt>
                <pt idx="9">
                  <v>2023</v>
                </pt>
                <pt idx="10">
                  <v>2024</v>
                </pt>
              </numCache>
            </numRef>
          </cat>
          <val>
            <numRef>
              <f>'IN Indy MSA (2)'!$B$6:$L$6</f>
              <numCache>
                <formatCode>"$"#,##0.00</formatCode>
                <ptCount val="11"/>
                <pt idx="0">
                  <v>48737</v>
                </pt>
                <pt idx="1">
                  <v>49255</v>
                </pt>
                <pt idx="2">
                  <v>50433</v>
                </pt>
                <pt idx="3">
                  <v>52182</v>
                </pt>
                <pt idx="4">
                  <v>54325</v>
                </pt>
                <pt idx="5">
                  <v>56303</v>
                </pt>
                <pt idx="6">
                  <v>58235</v>
                </pt>
                <pt idx="7">
                  <v>61944</v>
                </pt>
                <pt idx="8">
                  <v>67173</v>
                </pt>
                <pt idx="9">
                  <v>70051</v>
                </pt>
                <pt idx="10">
                  <v>71957</v>
                </pt>
              </numCache>
            </numRef>
          </val>
          <smooth val="0"/>
        </ser>
        <ser>
          <idx val="4"/>
          <order val="4"/>
          <tx>
            <strRef>
              <f>'IN Indy MSA (2)'!$A$7</f>
              <strCache>
                <ptCount val="1"/>
                <pt idx="0">
                  <v>United States</v>
                </pt>
              </strCache>
            </strRef>
          </tx>
          <spPr>
            <a:ln xmlns:a="http://schemas.openxmlformats.org/drawingml/2006/main" w="31750" cap="rnd">
              <a:solidFill>
                <a:schemeClr val="accent5"/>
              </a:solidFill>
              <a:prstDash val="solid"/>
              <a:round/>
            </a:ln>
          </spPr>
          <marker>
            <symbol val="circle"/>
            <size val="17"/>
            <spPr>
              <a:solidFill xmlns:a="http://schemas.openxmlformats.org/drawingml/2006/main">
                <a:schemeClr val="accent5"/>
              </a:solidFill>
              <a:ln xmlns:a="http://schemas.openxmlformats.org/drawingml/2006/main">
                <a:noFill/>
                <a:prstDash val="solid"/>
              </a:ln>
            </spPr>
          </marker>
          <dLbls>
            <delete val="1"/>
          </dLbls>
          <cat>
            <numRef>
              <f>'IN Indy MSA (2)'!$B$2:$L$2</f>
              <numCache>
                <formatCode>General</formatCode>
                <ptCount val="11"/>
                <pt idx="0">
                  <v>2014</v>
                </pt>
                <pt idx="1">
                  <v>2015</v>
                </pt>
                <pt idx="2">
                  <v>2016</v>
                </pt>
                <pt idx="3">
                  <v>2017</v>
                </pt>
                <pt idx="4">
                  <v>2018</v>
                </pt>
                <pt idx="5">
                  <v>2019</v>
                </pt>
                <pt idx="6">
                  <v>2020</v>
                </pt>
                <pt idx="7">
                  <v>2021</v>
                </pt>
                <pt idx="8">
                  <v>2022</v>
                </pt>
                <pt idx="9">
                  <v>2023</v>
                </pt>
                <pt idx="10">
                  <v>2024</v>
                </pt>
              </numCache>
            </numRef>
          </cat>
          <val>
            <numRef>
              <f>'IN Indy MSA (2)'!$B$7:$L$7</f>
              <numCache>
                <formatCode>"$"#,##0.00</formatCode>
                <ptCount val="11"/>
                <pt idx="0">
                  <v>53482</v>
                </pt>
                <pt idx="1">
                  <v>53889</v>
                </pt>
                <pt idx="2">
                  <v>55322</v>
                </pt>
                <pt idx="3">
                  <v>57652</v>
                </pt>
                <pt idx="4">
                  <v>60293</v>
                </pt>
                <pt idx="5">
                  <v>62843</v>
                </pt>
                <pt idx="6">
                  <v>64994</v>
                </pt>
                <pt idx="7">
                  <v>69021</v>
                </pt>
                <pt idx="8">
                  <v>75149</v>
                </pt>
                <pt idx="9">
                  <v>78538</v>
                </pt>
                <pt idx="10">
                  <v>80734</v>
                </pt>
              </numCache>
            </numRef>
          </val>
          <smooth val="0"/>
        </ser>
        <dLbls>
          <dLblPos val="ctr"/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1387222400"/>
        <axId val="1387213280"/>
      </lineChart>
      <catAx>
        <axId val="1387222400"/>
        <scaling>
          <orientation val="minMax"/>
        </scaling>
        <delete val="0"/>
        <axPos val="b"/>
        <numFmt formatCode="General" sourceLinked="1"/>
        <majorTickMark val="out"/>
        <minorTickMark val="out"/>
        <tickLblPos val="nextTo"/>
        <spPr>
          <a:noFill xmlns:a="http://schemas.openxmlformats.org/drawingml/2006/main"/>
          <a:ln xmlns:a="http://schemas.openxmlformats.org/drawingml/2006/main" w="19050" cap="flat" cmpd="sng" algn="ctr">
            <a:solidFill>
              <a:schemeClr val="dk1">
                <a:lumMod val="75000"/>
                <a:lumOff val="2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387213280"/>
        <crosses val="autoZero"/>
        <auto val="1"/>
        <lblAlgn val="ctr"/>
        <lblOffset val="100"/>
        <noMultiLvlLbl val="0"/>
      </catAx>
      <valAx>
        <axId val="1387213280"/>
        <scaling>
          <orientation val="minMax"/>
        </scaling>
        <delete val="1"/>
        <axPos val="l"/>
        <majorGridlines>
          <spPr>
            <a:ln xmlns:a="http://schemas.openxmlformats.org/drawingml/2006/main" w="9525" cap="flat" cmpd="sng" algn="ctr">
              <a:gradFill>
                <a:gsLst>
                  <a:gs pos="100000">
                    <a:schemeClr val="dk1">
                      <a:alpha val="42000"/>
                      <a:lumMod val="95000"/>
                      <a:lumOff val="5000"/>
                    </a:schemeClr>
                  </a:gs>
                  <a:gs pos="0">
                    <a:schemeClr val="lt1">
                      <a:alpha val="36000"/>
                      <a:lumMod val="75000"/>
                    </a:schemeClr>
                  </a:gs>
                </a:gsLst>
                <a:lin ang="5400000" scaled="0"/>
              </a:gradFill>
              <a:prstDash val="solid"/>
              <a:round/>
            </a:ln>
          </spPr>
        </majorGridlines>
        <numFmt formatCode="&quot;$&quot;#,##0.00" sourceLinked="1"/>
        <majorTickMark val="none"/>
        <minorTickMark val="none"/>
        <tickLblPos val="nextTo"/>
        <crossAx val="1387222400"/>
        <crosses val="autoZero"/>
        <crossBetween val="between"/>
      </valAx>
    </plotArea>
    <legend>
      <legendPos val="b"/>
      <overlay val="0"/>
      <spPr>
        <a:solidFill xmlns:a="http://schemas.openxmlformats.org/drawingml/2006/main">
          <a:schemeClr val="lt1">
            <a:alpha val="39000"/>
            <a:lumMod val="95000"/>
          </a:schemeClr>
        </a:solidFill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zero"/>
  </chart>
  <spPr>
    <a:gradFill xmlns:a="http://schemas.openxmlformats.org/drawingml/2006/main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xmlns:a="http://schemas.openxmlformats.org/drawingml/2006/main" w="9525" cap="flat" cmpd="sng" algn="ctr">
      <a:solidFill>
        <a:schemeClr val="dk1">
          <a:lumMod val="25000"/>
          <a:lumOff val="75000"/>
        </a:schemeClr>
      </a:solidFill>
      <a:prstDash val="solid"/>
      <a:round/>
    </a:ln>
  </spPr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800" b="1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Median Household Income</a:t>
            </a:r>
          </a:p>
        </rich>
      </tx>
      <layout>
        <manualLayout>
          <xMode val="edge"/>
          <yMode val="edge"/>
          <wMode val="factor"/>
          <hMode val="factor"/>
          <x val="0.1866140350877193"/>
          <y val="0.08230450007955022"/>
        </manualLayout>
      </layout>
      <overlay val="0"/>
      <spPr>
        <a:solidFill xmlns:a="http://schemas.openxmlformats.org/drawingml/2006/main">
          <a:schemeClr val="bg1">
            <a:alpha val="70000"/>
            <a:lumMod val="95000"/>
          </a:schemeClr>
        </a:solidFill>
        <a:ln xmlns:a="http://schemas.openxmlformats.org/drawingml/2006/main">
          <a:solidFill>
            <a:srgbClr val="000000"/>
          </a:solidFill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800" b="1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12280701754386"/>
          <y val="0.1727159934169361"/>
          <w val="0.868421052631579"/>
          <h val="0.6380108752111483"/>
        </manualLayout>
      </layout>
      <lineChart>
        <grouping val="standard"/>
        <varyColors val="0"/>
        <ser>
          <idx val="0"/>
          <order val="0"/>
          <tx>
            <strRef>
              <f>'IN Indy MSA (2)'!$A$3</f>
              <strCache>
                <ptCount val="1"/>
                <pt idx="0">
                  <v>Perry township</v>
                </pt>
              </strCache>
            </strRef>
          </tx>
          <spPr>
            <a:ln xmlns:a="http://schemas.openxmlformats.org/drawingml/2006/main" w="317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17"/>
            <spPr>
              <a:solidFill xmlns:a="http://schemas.openxmlformats.org/drawingml/2006/main">
                <a:schemeClr val="accent1"/>
              </a:solidFill>
              <a:ln xmlns:a="http://schemas.openxmlformats.org/drawingml/2006/main">
                <a:noFill/>
                <a:prstDash val="solid"/>
              </a:ln>
            </spPr>
          </marker>
          <dLbls>
            <delete val="1"/>
          </dLbls>
          <cat>
            <numRef>
              <f>'IN Indy MSA (2)'!$B$2:$L$2</f>
              <numCache>
                <formatCode>General</formatCode>
                <ptCount val="11"/>
                <pt idx="0">
                  <v>2014</v>
                </pt>
                <pt idx="1">
                  <v>2015</v>
                </pt>
                <pt idx="2">
                  <v>2016</v>
                </pt>
                <pt idx="3">
                  <v>2017</v>
                </pt>
                <pt idx="4">
                  <v>2018</v>
                </pt>
                <pt idx="5">
                  <v>2019</v>
                </pt>
                <pt idx="6">
                  <v>2020</v>
                </pt>
                <pt idx="7">
                  <v>2021</v>
                </pt>
                <pt idx="8">
                  <v>2022</v>
                </pt>
                <pt idx="9">
                  <v>2023</v>
                </pt>
                <pt idx="10">
                  <v>2024</v>
                </pt>
              </numCache>
            </numRef>
          </cat>
          <val>
            <numRef>
              <f>'IN Indy MSA (2)'!$B$3:$L$3</f>
              <numCache>
                <formatCode>"$"#,##0.00</formatCode>
                <ptCount val="11"/>
                <pt idx="0">
                  <v>44563</v>
                </pt>
                <pt idx="1">
                  <v>44302</v>
                </pt>
                <pt idx="2">
                  <v>45151</v>
                </pt>
                <pt idx="3">
                  <v>46151</v>
                </pt>
                <pt idx="4">
                  <v>48819</v>
                </pt>
                <pt idx="5">
                  <v>50754</v>
                </pt>
                <pt idx="6">
                  <v>53604</v>
                </pt>
                <pt idx="7">
                  <v>57176</v>
                </pt>
                <pt idx="8">
                  <v>61165</v>
                </pt>
                <pt idx="9">
                  <v>63866</v>
                </pt>
                <pt idx="10">
                  <v>66897</v>
                </pt>
              </numCache>
            </numRef>
          </val>
          <smooth val="0"/>
        </ser>
        <ser>
          <idx val="1"/>
          <order val="1"/>
          <tx>
            <strRef>
              <f>'IN Indy MSA (2)'!$A$4</f>
              <strCache>
                <ptCount val="1"/>
                <pt idx="0">
                  <v>Marion County</v>
                </pt>
              </strCache>
            </strRef>
          </tx>
          <spPr>
            <a:ln xmlns:a="http://schemas.openxmlformats.org/drawingml/2006/main" w="31750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17"/>
            <spPr>
              <a:solidFill xmlns:a="http://schemas.openxmlformats.org/drawingml/2006/main">
                <a:schemeClr val="accent2"/>
              </a:solidFill>
              <a:ln xmlns:a="http://schemas.openxmlformats.org/drawingml/2006/main">
                <a:noFill/>
                <a:prstDash val="solid"/>
              </a:ln>
            </spPr>
          </marker>
          <dLbls>
            <delete val="1"/>
          </dLbls>
          <cat>
            <numRef>
              <f>'IN Indy MSA (2)'!$B$2:$L$2</f>
              <numCache>
                <formatCode>General</formatCode>
                <ptCount val="11"/>
                <pt idx="0">
                  <v>2014</v>
                </pt>
                <pt idx="1">
                  <v>2015</v>
                </pt>
                <pt idx="2">
                  <v>2016</v>
                </pt>
                <pt idx="3">
                  <v>2017</v>
                </pt>
                <pt idx="4">
                  <v>2018</v>
                </pt>
                <pt idx="5">
                  <v>2019</v>
                </pt>
                <pt idx="6">
                  <v>2020</v>
                </pt>
                <pt idx="7">
                  <v>2021</v>
                </pt>
                <pt idx="8">
                  <v>2022</v>
                </pt>
                <pt idx="9">
                  <v>2023</v>
                </pt>
                <pt idx="10">
                  <v>2024</v>
                </pt>
              </numCache>
            </numRef>
          </cat>
          <val>
            <numRef>
              <f>'IN Indy MSA (2)'!$B$4:$L$4</f>
              <numCache>
                <formatCode>"$"#,##0.00</formatCode>
                <ptCount val="11"/>
                <pt idx="0">
                  <v>42378</v>
                </pt>
                <pt idx="1">
                  <v>42168</v>
                </pt>
                <pt idx="2">
                  <v>43369</v>
                </pt>
                <pt idx="3">
                  <v>44869</v>
                </pt>
                <pt idx="4">
                  <v>46692</v>
                </pt>
                <pt idx="5">
                  <v>48316</v>
                </pt>
                <pt idx="6">
                  <v>51219</v>
                </pt>
                <pt idx="7">
                  <v>54601</v>
                </pt>
                <pt idx="8">
                  <v>59504</v>
                </pt>
                <pt idx="9">
                  <v>63450</v>
                </pt>
                <pt idx="10">
                  <v>66346</v>
                </pt>
              </numCache>
            </numRef>
          </val>
          <smooth val="0"/>
        </ser>
        <ser>
          <idx val="2"/>
          <order val="2"/>
          <tx>
            <strRef>
              <f>'IN Indy MSA (2)'!$A$5</f>
              <strCache>
                <ptCount val="1"/>
                <pt idx="0">
                  <v>Indianapolis MSA</v>
                </pt>
              </strCache>
            </strRef>
          </tx>
          <spPr>
            <a:ln xmlns:a="http://schemas.openxmlformats.org/drawingml/2006/main" w="31750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17"/>
            <spPr>
              <a:solidFill xmlns:a="http://schemas.openxmlformats.org/drawingml/2006/main">
                <a:schemeClr val="accent3"/>
              </a:solidFill>
              <a:ln xmlns:a="http://schemas.openxmlformats.org/drawingml/2006/main">
                <a:noFill/>
                <a:prstDash val="solid"/>
              </a:ln>
            </spPr>
          </marker>
          <dLbls>
            <delete val="1"/>
          </dLbls>
          <cat>
            <numRef>
              <f>'IN Indy MSA (2)'!$B$2:$L$2</f>
              <numCache>
                <formatCode>General</formatCode>
                <ptCount val="11"/>
                <pt idx="0">
                  <v>2014</v>
                </pt>
                <pt idx="1">
                  <v>2015</v>
                </pt>
                <pt idx="2">
                  <v>2016</v>
                </pt>
                <pt idx="3">
                  <v>2017</v>
                </pt>
                <pt idx="4">
                  <v>2018</v>
                </pt>
                <pt idx="5">
                  <v>2019</v>
                </pt>
                <pt idx="6">
                  <v>2020</v>
                </pt>
                <pt idx="7">
                  <v>2021</v>
                </pt>
                <pt idx="8">
                  <v>2022</v>
                </pt>
                <pt idx="9">
                  <v>2023</v>
                </pt>
                <pt idx="10">
                  <v>2024</v>
                </pt>
              </numCache>
            </numRef>
          </cat>
          <val>
            <numRef>
              <f>'IN Indy MSA (2)'!$B$5:$L$5</f>
              <numCache>
                <formatCode>"$"#,##0.00</formatCode>
                <ptCount val="11"/>
                <pt idx="0">
                  <v>52434</v>
                </pt>
                <pt idx="1">
                  <v>52842</v>
                </pt>
                <pt idx="2">
                  <v>54261</v>
                </pt>
                <pt idx="3">
                  <v>56528</v>
                </pt>
                <pt idx="4">
                  <v>59232</v>
                </pt>
                <pt idx="5">
                  <v>61552</v>
                </pt>
                <pt idx="6">
                  <v>63545</v>
                </pt>
                <pt idx="7">
                  <v>67330</v>
                </pt>
                <pt idx="8">
                  <v>73571</v>
                </pt>
                <pt idx="9">
                  <v>77065</v>
                </pt>
                <pt idx="10">
                  <v>79852</v>
                </pt>
              </numCache>
            </numRef>
          </val>
          <smooth val="0"/>
        </ser>
        <ser>
          <idx val="3"/>
          <order val="3"/>
          <tx>
            <strRef>
              <f>'IN Indy MSA (2)'!$A$6</f>
              <strCache>
                <ptCount val="1"/>
                <pt idx="0">
                  <v>Indiana</v>
                </pt>
              </strCache>
            </strRef>
          </tx>
          <spPr>
            <a:ln xmlns:a="http://schemas.openxmlformats.org/drawingml/2006/main" w="31750" cap="rnd">
              <a:solidFill>
                <a:schemeClr val="accent4"/>
              </a:solidFill>
              <a:prstDash val="solid"/>
              <a:round/>
            </a:ln>
          </spPr>
          <marker>
            <symbol val="circle"/>
            <size val="17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marker>
          <dLbls>
            <delete val="1"/>
          </dLbls>
          <cat>
            <numRef>
              <f>'IN Indy MSA (2)'!$B$2:$L$2</f>
              <numCache>
                <formatCode>General</formatCode>
                <ptCount val="11"/>
                <pt idx="0">
                  <v>2014</v>
                </pt>
                <pt idx="1">
                  <v>2015</v>
                </pt>
                <pt idx="2">
                  <v>2016</v>
                </pt>
                <pt idx="3">
                  <v>2017</v>
                </pt>
                <pt idx="4">
                  <v>2018</v>
                </pt>
                <pt idx="5">
                  <v>2019</v>
                </pt>
                <pt idx="6">
                  <v>2020</v>
                </pt>
                <pt idx="7">
                  <v>2021</v>
                </pt>
                <pt idx="8">
                  <v>2022</v>
                </pt>
                <pt idx="9">
                  <v>2023</v>
                </pt>
                <pt idx="10">
                  <v>2024</v>
                </pt>
              </numCache>
            </numRef>
          </cat>
          <val>
            <numRef>
              <f>'IN Indy MSA (2)'!$B$6:$L$6</f>
              <numCache>
                <formatCode>"$"#,##0.00</formatCode>
                <ptCount val="11"/>
                <pt idx="0">
                  <v>48737</v>
                </pt>
                <pt idx="1">
                  <v>49255</v>
                </pt>
                <pt idx="2">
                  <v>50433</v>
                </pt>
                <pt idx="3">
                  <v>52182</v>
                </pt>
                <pt idx="4">
                  <v>54325</v>
                </pt>
                <pt idx="5">
                  <v>56303</v>
                </pt>
                <pt idx="6">
                  <v>58235</v>
                </pt>
                <pt idx="7">
                  <v>61944</v>
                </pt>
                <pt idx="8">
                  <v>67173</v>
                </pt>
                <pt idx="9">
                  <v>70051</v>
                </pt>
                <pt idx="10">
                  <v>71957</v>
                </pt>
              </numCache>
            </numRef>
          </val>
          <smooth val="0"/>
        </ser>
        <ser>
          <idx val="4"/>
          <order val="4"/>
          <tx>
            <strRef>
              <f>'IN Indy MSA (2)'!$A$7</f>
              <strCache>
                <ptCount val="1"/>
                <pt idx="0">
                  <v>United States</v>
                </pt>
              </strCache>
            </strRef>
          </tx>
          <spPr>
            <a:ln xmlns:a="http://schemas.openxmlformats.org/drawingml/2006/main" w="31750" cap="rnd">
              <a:solidFill>
                <a:schemeClr val="accent5"/>
              </a:solidFill>
              <a:prstDash val="solid"/>
              <a:round/>
            </a:ln>
          </spPr>
          <marker>
            <symbol val="circle"/>
            <size val="17"/>
            <spPr>
              <a:solidFill xmlns:a="http://schemas.openxmlformats.org/drawingml/2006/main">
                <a:schemeClr val="accent5"/>
              </a:solidFill>
              <a:ln xmlns:a="http://schemas.openxmlformats.org/drawingml/2006/main">
                <a:noFill/>
                <a:prstDash val="solid"/>
              </a:ln>
            </spPr>
          </marker>
          <dLbls>
            <delete val="1"/>
          </dLbls>
          <cat>
            <numRef>
              <f>'IN Indy MSA (2)'!$B$2:$L$2</f>
              <numCache>
                <formatCode>General</formatCode>
                <ptCount val="11"/>
                <pt idx="0">
                  <v>2014</v>
                </pt>
                <pt idx="1">
                  <v>2015</v>
                </pt>
                <pt idx="2">
                  <v>2016</v>
                </pt>
                <pt idx="3">
                  <v>2017</v>
                </pt>
                <pt idx="4">
                  <v>2018</v>
                </pt>
                <pt idx="5">
                  <v>2019</v>
                </pt>
                <pt idx="6">
                  <v>2020</v>
                </pt>
                <pt idx="7">
                  <v>2021</v>
                </pt>
                <pt idx="8">
                  <v>2022</v>
                </pt>
                <pt idx="9">
                  <v>2023</v>
                </pt>
                <pt idx="10">
                  <v>2024</v>
                </pt>
              </numCache>
            </numRef>
          </cat>
          <val>
            <numRef>
              <f>'IN Indy MSA (2)'!$B$7:$L$7</f>
              <numCache>
                <formatCode>"$"#,##0.00</formatCode>
                <ptCount val="11"/>
                <pt idx="0">
                  <v>53482</v>
                </pt>
                <pt idx="1">
                  <v>53889</v>
                </pt>
                <pt idx="2">
                  <v>55322</v>
                </pt>
                <pt idx="3">
                  <v>57652</v>
                </pt>
                <pt idx="4">
                  <v>60293</v>
                </pt>
                <pt idx="5">
                  <v>62843</v>
                </pt>
                <pt idx="6">
                  <v>64994</v>
                </pt>
                <pt idx="7">
                  <v>69021</v>
                </pt>
                <pt idx="8">
                  <v>75149</v>
                </pt>
                <pt idx="9">
                  <v>78538</v>
                </pt>
                <pt idx="10">
                  <v>80734</v>
                </pt>
              </numCache>
            </numRef>
          </val>
          <smooth val="0"/>
        </ser>
        <dLbls>
          <dLblPos val="ctr"/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1668814799"/>
        <axId val="1668809519"/>
      </lineChart>
      <catAx>
        <axId val="166881479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9050" cap="flat" cmpd="sng" algn="ctr">
            <a:solidFill>
              <a:schemeClr val="dk1">
                <a:lumMod val="75000"/>
                <a:lumOff val="2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668809519"/>
        <crosses val="autoZero"/>
        <auto val="1"/>
        <lblAlgn val="ctr"/>
        <lblOffset val="100"/>
        <noMultiLvlLbl val="0"/>
      </catAx>
      <valAx>
        <axId val="1668809519"/>
        <scaling>
          <orientation val="minMax"/>
          <max val="85000"/>
          <min val="35000"/>
        </scaling>
        <delete val="0"/>
        <axPos val="l"/>
        <majorGridlines>
          <spPr>
            <a:ln xmlns:a="http://schemas.openxmlformats.org/drawingml/2006/main" w="9525" cap="flat" cmpd="sng" algn="ctr">
              <a:gradFill>
                <a:gsLst>
                  <a:gs pos="100000">
                    <a:schemeClr val="dk1">
                      <a:alpha val="42000"/>
                      <a:lumMod val="95000"/>
                      <a:lumOff val="5000"/>
                    </a:schemeClr>
                  </a:gs>
                  <a:gs pos="0">
                    <a:schemeClr val="lt1">
                      <a:alpha val="36000"/>
                      <a:lumMod val="75000"/>
                    </a:schemeClr>
                  </a:gs>
                </a:gsLst>
                <a:lin ang="5400000" scaled="0"/>
              </a:gradFill>
              <a:prstDash val="solid"/>
              <a:round/>
            </a:ln>
          </spPr>
        </majorGridlines>
        <numFmt formatCode="&quot;$&quot;#,##0.00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668814799"/>
        <crosses val="autoZero"/>
        <crossBetween val="between"/>
      </valAx>
    </plotArea>
    <legend>
      <legendPos val="b"/>
      <overlay val="0"/>
      <spPr>
        <a:solidFill xmlns:a="http://schemas.openxmlformats.org/drawingml/2006/main">
          <a:schemeClr val="lt1">
            <a:alpha val="39000"/>
            <a:lumMod val="95000"/>
          </a:schemeClr>
        </a:solidFill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xmlns:a="http://schemas.openxmlformats.org/drawingml/2006/main" w="9525" cap="flat" cmpd="sng" algn="ctr">
      <a:solidFill>
        <a:schemeClr val="dk1">
          <a:lumMod val="25000"/>
          <a:lumOff val="7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drawing1.xml><?xml version="1.0" encoding="utf-8"?>
<wsDr xmlns="http://schemas.openxmlformats.org/drawingml/2006/spreadsheetDrawing">
  <twoCellAnchor>
    <from>
      <col>5</col>
      <colOff>266700</colOff>
      <row>39</row>
      <rowOff>38100</rowOff>
    </from>
    <to>
      <col>11</col>
      <colOff>152400</colOff>
      <row>54</row>
      <rowOff>66675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5</col>
      <colOff>247650</colOff>
      <row>57</row>
      <rowOff>123825</rowOff>
    </from>
    <to>
      <col>8</col>
      <colOff>400050</colOff>
      <row>73</row>
      <rowOff>171450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3</col>
      <colOff>547688</colOff>
      <row>8</row>
      <rowOff>57150</rowOff>
    </from>
    <to>
      <col>16</col>
      <colOff>595313</colOff>
      <row>27</row>
      <rowOff>119062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>
    <from>
      <col>1</col>
      <colOff>152401</colOff>
      <row>5</row>
      <rowOff>119061</rowOff>
    </from>
    <to>
      <col>9</col>
      <colOff>400051</colOff>
      <row>27</row>
      <rowOff>14287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twoCellAnchor>
    <from>
      <col>1</col>
      <colOff>57150</colOff>
      <row>11</row>
      <rowOff>114300</rowOff>
    </from>
    <to>
      <col>8</col>
      <colOff>352425</colOff>
      <row>26</row>
      <rowOff>95250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5.xml><?xml version="1.0" encoding="utf-8"?>
<wsDr xmlns="http://schemas.openxmlformats.org/drawingml/2006/spreadsheetDrawing">
  <twoCellAnchor>
    <from>
      <col>3</col>
      <colOff>904875</colOff>
      <row>7</row>
      <rowOff>104773</rowOff>
    </from>
    <to>
      <col>11</col>
      <colOff>714375</colOff>
      <row>17</row>
      <rowOff>276224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3</col>
      <colOff>914400</colOff>
      <row>18</row>
      <rowOff>228598</rowOff>
    </from>
    <to>
      <col>11</col>
      <colOff>685800</colOff>
      <row>29</row>
      <rowOff>66674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D:\EXCEL\US31LAND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F:\EXCEL\AUBURN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V est"/>
      <sheetName val="Sales Sum"/>
      <sheetName val="pop"/>
      <sheetName val="tax"/>
      <sheetName val="Land"/>
      <sheetName val="Sheet3"/>
      <sheetName val="Sheet4"/>
      <sheetName val="FSS"/>
      <sheetName val="GRPH"/>
      <sheetName val="pmtsgrph"/>
      <sheetName val="Rglemp"/>
      <sheetName val="Emplmt"/>
      <sheetName val="Sheet6"/>
      <sheetName val="Sheet7"/>
      <sheetName val="Sheet8"/>
      <sheetName val="Sheet9"/>
      <sheetName val="Sheet1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2">
          <cell r="C2" t="str">
            <v>N</v>
          </cell>
          <cell r="D2" t="str">
            <v>D</v>
          </cell>
          <cell r="E2" t="str">
            <v>J</v>
          </cell>
          <cell r="F2" t="str">
            <v>F</v>
          </cell>
          <cell r="G2" t="str">
            <v>M</v>
          </cell>
          <cell r="H2" t="str">
            <v>A</v>
          </cell>
          <cell r="I2" t="str">
            <v>M</v>
          </cell>
          <cell r="J2" t="str">
            <v>J</v>
          </cell>
          <cell r="K2" t="str">
            <v>J</v>
          </cell>
          <cell r="L2" t="str">
            <v>A</v>
          </cell>
          <cell r="M2" t="str">
            <v>S</v>
          </cell>
          <cell r="N2" t="str">
            <v>O</v>
          </cell>
          <cell r="O2" t="str">
            <v>N</v>
          </cell>
          <cell r="P2" t="str">
            <v>D</v>
          </cell>
          <cell r="Q2" t="str">
            <v>J</v>
          </cell>
          <cell r="R2" t="str">
            <v>F</v>
          </cell>
          <cell r="S2" t="str">
            <v>M</v>
          </cell>
          <cell r="T2" t="str">
            <v>A</v>
          </cell>
          <cell r="U2" t="str">
            <v>M</v>
          </cell>
          <cell r="V2" t="str">
            <v>J</v>
          </cell>
          <cell r="W2" t="str">
            <v>J</v>
          </cell>
          <cell r="X2" t="str">
            <v>A</v>
          </cell>
        </row>
        <row r="3">
          <cell r="B3" t="str">
            <v>White River</v>
          </cell>
          <cell r="C3">
            <v>26</v>
          </cell>
          <cell r="D3">
            <v>20</v>
          </cell>
          <cell r="E3">
            <v>20</v>
          </cell>
          <cell r="F3">
            <v>17</v>
          </cell>
          <cell r="G3">
            <v>27</v>
          </cell>
          <cell r="H3">
            <v>19</v>
          </cell>
          <cell r="I3">
            <v>42</v>
          </cell>
          <cell r="J3">
            <v>28</v>
          </cell>
          <cell r="K3">
            <v>23</v>
          </cell>
          <cell r="L3">
            <v>41</v>
          </cell>
          <cell r="M3">
            <v>14</v>
          </cell>
          <cell r="N3">
            <v>34</v>
          </cell>
          <cell r="O3">
            <v>26</v>
          </cell>
          <cell r="P3">
            <v>23</v>
          </cell>
          <cell r="Q3">
            <v>24</v>
          </cell>
          <cell r="R3">
            <v>18</v>
          </cell>
          <cell r="S3">
            <v>35</v>
          </cell>
          <cell r="T3">
            <v>31</v>
          </cell>
          <cell r="U3">
            <v>39</v>
          </cell>
          <cell r="V3">
            <v>29</v>
          </cell>
          <cell r="W3">
            <v>23</v>
          </cell>
          <cell r="X3">
            <v>25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V1"/>
      <sheetName val="Reconcl"/>
      <sheetName val="ASIS"/>
      <sheetName val="Discount"/>
      <sheetName val="POP"/>
      <sheetName val="CGSS"/>
      <sheetName val="Emplmt"/>
      <sheetName val="Rglemp"/>
      <sheetName val="EBI"/>
      <sheetName val="HAI"/>
      <sheetName val="pmtsgrph"/>
      <sheetName val="GRPH"/>
      <sheetName val="taxes"/>
      <sheetName val="Compcost"/>
      <sheetName val="Compcost-x"/>
      <sheetName val="Dev"/>
      <sheetName val="PCMP"/>
      <sheetName val="PH1DCF"/>
      <sheetName val="CSUM"/>
      <sheetName val="salsum"/>
      <sheetName val="FEAS2"/>
      <sheetName val="LandS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">
          <cell r="C2" t="str">
            <v>N</v>
          </cell>
          <cell r="D2" t="str">
            <v>D</v>
          </cell>
          <cell r="E2" t="str">
            <v>J</v>
          </cell>
          <cell r="F2" t="str">
            <v>F</v>
          </cell>
          <cell r="G2" t="str">
            <v>M</v>
          </cell>
          <cell r="H2" t="str">
            <v>A</v>
          </cell>
          <cell r="I2" t="str">
            <v>M</v>
          </cell>
          <cell r="J2" t="str">
            <v>J</v>
          </cell>
          <cell r="K2" t="str">
            <v>J</v>
          </cell>
          <cell r="L2" t="str">
            <v>A</v>
          </cell>
          <cell r="M2" t="str">
            <v>S</v>
          </cell>
          <cell r="N2" t="str">
            <v>O</v>
          </cell>
          <cell r="O2" t="str">
            <v>N</v>
          </cell>
          <cell r="P2" t="str">
            <v>D</v>
          </cell>
          <cell r="Q2" t="str">
            <v>J</v>
          </cell>
          <cell r="R2" t="str">
            <v>F</v>
          </cell>
          <cell r="S2" t="str">
            <v>M</v>
          </cell>
          <cell r="T2" t="str">
            <v>A</v>
          </cell>
          <cell r="U2" t="str">
            <v>M</v>
          </cell>
          <cell r="V2" t="str">
            <v>J</v>
          </cell>
          <cell r="W2" t="str">
            <v>J</v>
          </cell>
          <cell r="X2" t="str">
            <v>A</v>
          </cell>
        </row>
        <row r="3">
          <cell r="B3" t="str">
            <v>White River</v>
          </cell>
          <cell r="C3">
            <v>26</v>
          </cell>
          <cell r="D3">
            <v>20</v>
          </cell>
          <cell r="E3">
            <v>20</v>
          </cell>
          <cell r="F3">
            <v>17</v>
          </cell>
          <cell r="G3">
            <v>27</v>
          </cell>
          <cell r="H3">
            <v>19</v>
          </cell>
          <cell r="I3">
            <v>42</v>
          </cell>
          <cell r="J3">
            <v>28</v>
          </cell>
          <cell r="K3">
            <v>23</v>
          </cell>
          <cell r="L3">
            <v>41</v>
          </cell>
          <cell r="M3">
            <v>14</v>
          </cell>
          <cell r="N3">
            <v>34</v>
          </cell>
          <cell r="O3">
            <v>26</v>
          </cell>
          <cell r="P3">
            <v>23</v>
          </cell>
          <cell r="Q3">
            <v>24</v>
          </cell>
          <cell r="R3">
            <v>18</v>
          </cell>
          <cell r="S3">
            <v>35</v>
          </cell>
          <cell r="T3">
            <v>31</v>
          </cell>
          <cell r="U3">
            <v>39</v>
          </cell>
          <cell r="V3">
            <v>29</v>
          </cell>
          <cell r="W3">
            <v>23</v>
          </cell>
          <cell r="X3">
            <v>25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L60"/>
  <sheetViews>
    <sheetView showGridLines="0" tabSelected="1" zoomScale="70" zoomScaleNormal="70" workbookViewId="0">
      <selection activeCell="K51" sqref="K51"/>
    </sheetView>
  </sheetViews>
  <sheetFormatPr baseColWidth="8" defaultColWidth="10" defaultRowHeight="13.9"/>
  <cols>
    <col width="30.75" customWidth="1" style="185" min="1" max="1"/>
    <col width="11.625" bestFit="1" customWidth="1" style="185" min="2" max="2"/>
    <col width="10" customWidth="1" style="185" min="3" max="4"/>
    <col width="10.875" customWidth="1" style="185" min="5" max="5"/>
    <col width="15" customWidth="1" style="185" min="6" max="6"/>
    <col width="11.125" customWidth="1" style="185" min="7" max="7"/>
    <col width="11.375" customWidth="1" style="185" min="8" max="8"/>
    <col width="12.625" customWidth="1" style="185" min="9" max="9"/>
    <col width="10" customWidth="1" style="185" min="10" max="10"/>
    <col width="10.9375" bestFit="1" customWidth="1" style="185" min="11" max="11"/>
    <col width="10" customWidth="1" style="185" min="12" max="12"/>
    <col width="12.375" customWidth="1" style="185" min="13" max="13"/>
    <col width="10" customWidth="1" style="185" min="14" max="14"/>
    <col width="10.9375" bestFit="1" customWidth="1" style="185" min="15" max="15"/>
    <col width="10" customWidth="1" style="185" min="16" max="16"/>
    <col width="10.5625" bestFit="1" customWidth="1" style="185" min="17" max="17"/>
    <col width="10.5625" customWidth="1" style="185" min="18" max="18"/>
    <col width="12.375" customWidth="1" style="185" min="19" max="19"/>
    <col width="11.875" customWidth="1" style="185" min="20" max="20"/>
    <col width="10" customWidth="1" style="185" min="21" max="21"/>
    <col width="11.375" customWidth="1" style="185" min="22" max="22"/>
    <col width="10" customWidth="1" style="185" min="23" max="23"/>
    <col width="11.375" customWidth="1" style="185" min="24" max="24"/>
    <col width="10" customWidth="1" style="185" min="25" max="25"/>
    <col width="12.125" customWidth="1" style="185" min="26" max="26"/>
    <col width="10" customWidth="1" style="185" min="27" max="29"/>
    <col width="12.375" customWidth="1" style="185" min="30" max="30"/>
    <col width="10" customWidth="1" style="185" min="31" max="31"/>
    <col width="12.375" customWidth="1" style="185" min="32" max="32"/>
    <col width="10" customWidth="1" style="185" min="33" max="33"/>
    <col width="12.375" customWidth="1" style="185" min="34" max="34"/>
    <col width="10" customWidth="1" style="185" min="35" max="35"/>
    <col width="12.375" customWidth="1" style="185" min="36" max="36"/>
    <col width="10" customWidth="1" style="185" min="37" max="37"/>
    <col width="12.375" customWidth="1" style="185" min="38" max="38"/>
    <col width="10" customWidth="1" style="185" min="39" max="16384"/>
  </cols>
  <sheetData>
    <row r="1" ht="21" customFormat="1" customHeight="1" s="223">
      <c r="A1" s="651" t="inlineStr">
        <is>
          <t>Comparable Improved Sales</t>
        </is>
      </c>
      <c r="B1" s="652" t="inlineStr">
        <is>
          <t>Subject</t>
        </is>
      </c>
      <c r="C1" s="652" t="n"/>
      <c r="D1" s="652" t="inlineStr">
        <is>
          <t>Comp No. 1</t>
        </is>
      </c>
      <c r="E1" s="652" t="n"/>
      <c r="F1" s="652" t="inlineStr">
        <is>
          <t>Comp No. 2</t>
        </is>
      </c>
      <c r="G1" s="652" t="n"/>
      <c r="H1" s="652" t="inlineStr">
        <is>
          <t>Comp No. 3</t>
        </is>
      </c>
      <c r="I1" s="652" t="n"/>
      <c r="J1" s="652" t="inlineStr">
        <is>
          <t>Comp No. 4</t>
        </is>
      </c>
      <c r="K1" s="652" t="n"/>
      <c r="L1" s="652" t="inlineStr">
        <is>
          <t>Comp No. 5</t>
        </is>
      </c>
      <c r="M1" s="652" t="n"/>
      <c r="N1" s="652" t="inlineStr">
        <is>
          <t>Comp No. 6</t>
        </is>
      </c>
      <c r="O1" s="652" t="n"/>
      <c r="P1" s="652" t="inlineStr">
        <is>
          <t>Comp No. 7</t>
        </is>
      </c>
      <c r="Q1" s="652" t="n"/>
      <c r="R1" s="652" t="inlineStr">
        <is>
          <t xml:space="preserve"> </t>
        </is>
      </c>
      <c r="S1" s="652" t="inlineStr">
        <is>
          <t>Comp No. 8</t>
        </is>
      </c>
      <c r="T1" s="652" t="n"/>
      <c r="U1" s="652" t="inlineStr">
        <is>
          <t>Comp No. 9</t>
        </is>
      </c>
      <c r="V1" s="652" t="n"/>
      <c r="W1" s="652" t="inlineStr">
        <is>
          <t>Comp No. 10</t>
        </is>
      </c>
      <c r="X1" s="652" t="n"/>
      <c r="Y1" s="652" t="inlineStr">
        <is>
          <t>Comp No. 11</t>
        </is>
      </c>
      <c r="Z1" s="652" t="n"/>
      <c r="AA1" s="652" t="inlineStr">
        <is>
          <t>Comp No. 5</t>
        </is>
      </c>
      <c r="AB1" s="652" t="n"/>
      <c r="AE1" s="652" t="inlineStr">
        <is>
          <t>Comp No. 12</t>
        </is>
      </c>
      <c r="AF1" s="652" t="n"/>
      <c r="AG1" s="652" t="inlineStr">
        <is>
          <t>Comp No. 13</t>
        </is>
      </c>
      <c r="AH1" s="652" t="n"/>
      <c r="AI1" s="652" t="inlineStr">
        <is>
          <t>Comp No. 14</t>
        </is>
      </c>
      <c r="AJ1" s="652" t="n"/>
      <c r="AK1" s="652" t="inlineStr">
        <is>
          <t>Comp No. 15</t>
        </is>
      </c>
      <c r="AL1" s="652" t="n"/>
    </row>
    <row r="2">
      <c r="A2" s="653" t="n"/>
      <c r="B2" s="654" t="n"/>
      <c r="C2" s="654" t="n"/>
      <c r="D2" s="654" t="n"/>
      <c r="E2" s="654" t="n"/>
      <c r="F2" s="654" t="n"/>
      <c r="G2" s="654" t="n"/>
      <c r="H2" s="654" t="n"/>
      <c r="I2" s="654" t="n"/>
      <c r="J2" s="654" t="n"/>
      <c r="K2" s="654" t="n"/>
      <c r="L2" s="654" t="n"/>
      <c r="M2" s="654" t="n"/>
      <c r="N2" s="654" t="n"/>
      <c r="O2" s="654" t="n"/>
      <c r="P2" s="654" t="n"/>
      <c r="Q2" s="654" t="n"/>
      <c r="R2" s="654" t="inlineStr">
        <is>
          <t xml:space="preserve"> </t>
        </is>
      </c>
      <c r="S2" s="654" t="n"/>
      <c r="T2" s="654" t="n"/>
      <c r="U2" s="654" t="n"/>
      <c r="V2" s="654" t="n"/>
      <c r="W2" s="654" t="n"/>
      <c r="X2" s="654" t="n"/>
      <c r="Y2" s="654" t="n"/>
      <c r="Z2" s="654" t="n"/>
      <c r="AA2" s="654" t="n"/>
      <c r="AB2" s="654" t="n"/>
      <c r="AE2" s="654" t="n"/>
      <c r="AF2" s="654" t="n"/>
      <c r="AG2" s="654" t="n"/>
      <c r="AH2" s="654" t="n"/>
      <c r="AI2" s="654" t="n"/>
      <c r="AJ2" s="654" t="n"/>
      <c r="AK2" s="654" t="n"/>
      <c r="AL2" s="654" t="n"/>
    </row>
    <row r="3">
      <c r="A3" s="655" t="inlineStr">
        <is>
          <t>Address:</t>
        </is>
      </c>
      <c r="B3" s="654" t="inlineStr">
        <is>
          <t>AUTO:address</t>
        </is>
      </c>
      <c r="C3" s="656" t="n"/>
      <c r="D3" s="657" t="n"/>
      <c r="E3" s="656" t="n"/>
      <c r="F3" s="657" t="n"/>
      <c r="G3" s="656" t="n"/>
      <c r="H3" s="657" t="n"/>
      <c r="I3" s="656" t="n"/>
      <c r="J3" s="657" t="n"/>
      <c r="K3" s="656" t="n"/>
      <c r="L3" s="657" t="n"/>
      <c r="M3" s="656" t="n"/>
      <c r="N3" s="657" t="n"/>
      <c r="O3" s="656" t="n"/>
      <c r="P3" s="657" t="n"/>
      <c r="Q3" s="656" t="n"/>
      <c r="R3" s="654" t="inlineStr">
        <is>
          <t xml:space="preserve"> </t>
        </is>
      </c>
      <c r="S3" s="654" t="n"/>
      <c r="T3" s="656" t="n"/>
      <c r="U3" s="654" t="n"/>
      <c r="V3" s="656" t="n"/>
      <c r="W3" s="658" t="n"/>
      <c r="X3" s="656" t="n"/>
      <c r="Y3" s="657" t="n"/>
      <c r="Z3" s="656" t="n"/>
      <c r="AA3" s="657" t="n"/>
      <c r="AB3" s="656" t="n"/>
      <c r="AE3" s="657" t="n"/>
      <c r="AF3" s="656" t="n"/>
      <c r="AG3" s="657" t="n"/>
      <c r="AH3" s="656" t="n"/>
      <c r="AI3" s="657" t="n"/>
      <c r="AJ3" s="656" t="n"/>
      <c r="AK3" s="657" t="n"/>
      <c r="AL3" s="656" t="n"/>
    </row>
    <row r="4">
      <c r="A4" s="655" t="n"/>
      <c r="B4" s="654" t="inlineStr">
        <is>
          <t>AUTO:citystate</t>
        </is>
      </c>
      <c r="C4" s="656" t="n"/>
      <c r="D4" s="654" t="n"/>
      <c r="E4" s="656" t="n"/>
      <c r="F4" s="654" t="n"/>
      <c r="G4" s="656" t="n"/>
      <c r="H4" s="654" t="n"/>
      <c r="I4" s="656" t="n"/>
      <c r="J4" s="654" t="n"/>
      <c r="K4" s="656" t="n"/>
      <c r="L4" s="654" t="n"/>
      <c r="M4" s="656" t="n"/>
      <c r="N4" s="657" t="n"/>
      <c r="O4" s="656" t="n"/>
      <c r="P4" s="654" t="n"/>
      <c r="Q4" s="656" t="n"/>
      <c r="R4" s="654" t="inlineStr">
        <is>
          <t xml:space="preserve"> </t>
        </is>
      </c>
      <c r="S4" s="654" t="n"/>
      <c r="T4" s="656" t="n"/>
      <c r="U4" s="654" t="n"/>
      <c r="V4" s="656" t="n"/>
      <c r="W4" s="654" t="n"/>
      <c r="X4" s="656" t="n"/>
      <c r="Y4" s="654" t="n"/>
      <c r="Z4" s="656" t="n"/>
      <c r="AA4" s="654" t="n"/>
      <c r="AB4" s="656" t="n"/>
      <c r="AE4" s="657" t="n"/>
      <c r="AF4" s="656" t="n"/>
      <c r="AG4" s="654" t="n"/>
      <c r="AH4" s="656" t="n"/>
      <c r="AI4" s="654" t="n"/>
      <c r="AJ4" s="656" t="n"/>
      <c r="AK4" s="654" t="n"/>
      <c r="AL4" s="656" t="n"/>
    </row>
    <row r="5">
      <c r="A5" s="655" t="inlineStr">
        <is>
          <t>County</t>
        </is>
      </c>
      <c r="B5" s="654" t="inlineStr">
        <is>
          <t>AUTO:county</t>
        </is>
      </c>
      <c r="C5" s="656" t="n"/>
      <c r="D5" s="654" t="n"/>
      <c r="E5" s="656" t="n"/>
      <c r="F5" s="654" t="n"/>
      <c r="G5" s="656" t="n"/>
      <c r="H5" s="654" t="n"/>
      <c r="I5" s="656" t="n"/>
      <c r="J5" s="654" t="n"/>
      <c r="K5" s="656" t="n"/>
      <c r="L5" s="654" t="n"/>
      <c r="M5" s="656" t="n"/>
      <c r="N5" s="657" t="n"/>
      <c r="O5" s="656" t="n"/>
      <c r="P5" s="654" t="n"/>
      <c r="Q5" s="656" t="n"/>
      <c r="R5" s="654" t="inlineStr">
        <is>
          <t xml:space="preserve"> </t>
        </is>
      </c>
      <c r="S5" s="654" t="n"/>
      <c r="T5" s="656" t="n"/>
      <c r="U5" s="654" t="n"/>
      <c r="V5" s="656" t="n"/>
      <c r="W5" s="654" t="n"/>
      <c r="X5" s="656" t="n"/>
      <c r="Y5" s="654" t="n"/>
      <c r="Z5" s="656" t="n"/>
      <c r="AA5" s="654" t="n"/>
      <c r="AB5" s="656" t="n"/>
      <c r="AE5" s="657" t="n"/>
      <c r="AF5" s="656" t="n"/>
      <c r="AG5" s="654" t="n"/>
      <c r="AH5" s="656" t="n"/>
      <c r="AI5" s="654" t="n"/>
      <c r="AJ5" s="656" t="n"/>
      <c r="AK5" s="654" t="n"/>
      <c r="AL5" s="656" t="n"/>
    </row>
    <row r="6">
      <c r="A6" s="655" t="inlineStr">
        <is>
          <t>Township</t>
        </is>
      </c>
      <c r="B6" s="654" t="inlineStr">
        <is>
          <t>AUTO:township</t>
        </is>
      </c>
      <c r="C6" s="656" t="n"/>
      <c r="D6" s="654" t="n"/>
      <c r="E6" s="656" t="n"/>
      <c r="F6" s="654" t="n"/>
      <c r="G6" s="656" t="n"/>
      <c r="H6" s="654" t="n"/>
      <c r="I6" s="656" t="n"/>
      <c r="J6" s="654" t="n"/>
      <c r="K6" s="656" t="n"/>
      <c r="L6" s="657" t="n"/>
      <c r="M6" s="656" t="n"/>
      <c r="N6" s="657" t="n"/>
      <c r="O6" s="656" t="n"/>
      <c r="P6" s="657" t="n"/>
      <c r="Q6" s="656" t="n"/>
      <c r="R6" s="654" t="inlineStr">
        <is>
          <t xml:space="preserve"> </t>
        </is>
      </c>
      <c r="S6" s="654" t="n"/>
      <c r="T6" s="656" t="n"/>
      <c r="U6" s="654" t="n"/>
      <c r="V6" s="656" t="n"/>
      <c r="W6" s="654" t="n"/>
      <c r="X6" s="656" t="n"/>
      <c r="Y6" s="654" t="n"/>
      <c r="Z6" s="656" t="n"/>
      <c r="AA6" s="654" t="n"/>
      <c r="AB6" s="656" t="n"/>
      <c r="AE6" s="657" t="n"/>
      <c r="AF6" s="656" t="n"/>
      <c r="AG6" s="657" t="n"/>
      <c r="AH6" s="656" t="n"/>
      <c r="AI6" s="657" t="n"/>
      <c r="AJ6" s="656" t="n"/>
      <c r="AK6" s="657" t="n"/>
      <c r="AL6" s="656" t="n"/>
    </row>
    <row r="7">
      <c r="A7" s="655" t="inlineStr">
        <is>
          <t>Project Name</t>
        </is>
      </c>
      <c r="B7" s="654" t="inlineStr"/>
      <c r="C7" s="656" t="n"/>
      <c r="D7" s="654" t="n"/>
      <c r="E7" s="656" t="n"/>
      <c r="F7" s="654" t="n"/>
      <c r="G7" s="656" t="n"/>
      <c r="H7" s="654" t="n"/>
      <c r="I7" s="656" t="n"/>
      <c r="J7" s="654" t="n"/>
      <c r="K7" s="656" t="n"/>
      <c r="L7" s="657" t="n"/>
      <c r="M7" s="656" t="n"/>
      <c r="N7" s="657" t="n"/>
      <c r="O7" s="656" t="n"/>
      <c r="P7" s="657" t="n"/>
      <c r="Q7" s="656" t="n"/>
      <c r="R7" s="654" t="inlineStr">
        <is>
          <t xml:space="preserve"> </t>
        </is>
      </c>
      <c r="S7" s="654" t="n"/>
      <c r="T7" s="656" t="n"/>
      <c r="U7" s="654" t="n"/>
      <c r="V7" s="656" t="n"/>
      <c r="W7" s="654" t="n"/>
      <c r="X7" s="656" t="n"/>
      <c r="Y7" s="654" t="n"/>
      <c r="Z7" s="656" t="n"/>
      <c r="AA7" s="654" t="n"/>
      <c r="AB7" s="656" t="n"/>
      <c r="AE7" s="657" t="n"/>
      <c r="AF7" s="656" t="n"/>
      <c r="AG7" s="657" t="n"/>
      <c r="AH7" s="656" t="n"/>
      <c r="AI7" s="657" t="n"/>
      <c r="AJ7" s="656" t="n"/>
      <c r="AK7" s="657" t="n"/>
      <c r="AL7" s="656" t="n"/>
    </row>
    <row r="8">
      <c r="A8" s="655" t="inlineStr">
        <is>
          <t>Sale Price</t>
        </is>
      </c>
      <c r="B8" s="659" t="n"/>
      <c r="C8" s="660" t="n"/>
      <c r="D8" s="661" t="n"/>
      <c r="E8" s="662" t="n"/>
      <c r="F8" s="661" t="n"/>
      <c r="G8" s="662" t="n"/>
      <c r="H8" s="661" t="n"/>
      <c r="I8" s="662" t="n"/>
      <c r="J8" s="661" t="n"/>
      <c r="K8" s="662" t="n"/>
      <c r="L8" s="661" t="n"/>
      <c r="M8" s="662" t="n"/>
      <c r="N8" s="661" t="n"/>
      <c r="O8" s="662" t="n"/>
      <c r="P8" s="661" t="n"/>
      <c r="Q8" s="662" t="n"/>
      <c r="R8" s="663" t="inlineStr">
        <is>
          <t xml:space="preserve"> </t>
        </is>
      </c>
      <c r="S8" s="661" t="n"/>
      <c r="T8" s="662" t="n"/>
      <c r="U8" s="661" t="n"/>
      <c r="V8" s="662" t="n"/>
      <c r="W8" s="227" t="n"/>
      <c r="X8" s="664" t="n"/>
      <c r="Y8" s="661" t="n"/>
      <c r="Z8" s="662" t="n"/>
      <c r="AA8" s="661" t="n"/>
      <c r="AB8" s="662" t="n"/>
      <c r="AE8" s="661" t="n"/>
      <c r="AF8" s="662" t="n"/>
      <c r="AG8" s="661" t="n"/>
      <c r="AH8" s="662" t="n"/>
      <c r="AI8" s="661" t="n"/>
      <c r="AJ8" s="662" t="n"/>
      <c r="AK8" s="661" t="n"/>
      <c r="AL8" s="662" t="n"/>
    </row>
    <row r="9">
      <c r="A9" s="655" t="inlineStr">
        <is>
          <t>Building Area (SF)</t>
        </is>
      </c>
      <c r="B9" s="665" t="inlineStr">
        <is>
          <t>AUTO:buildingSF</t>
        </is>
      </c>
      <c r="C9" s="655" t="n"/>
      <c r="D9" s="666" t="n"/>
      <c r="E9" s="667" t="n"/>
      <c r="F9" s="666" t="n"/>
      <c r="G9" s="667" t="n"/>
      <c r="H9" s="666" t="n"/>
      <c r="I9" s="667" t="n"/>
      <c r="J9" s="666" t="n"/>
      <c r="K9" s="667" t="n"/>
      <c r="L9" s="666" t="n"/>
      <c r="M9" s="667" t="n"/>
      <c r="N9" s="666" t="n"/>
      <c r="O9" s="667" t="n"/>
      <c r="P9" s="666" t="n"/>
      <c r="Q9" s="667" t="n"/>
      <c r="R9" s="666" t="n"/>
      <c r="S9" s="666" t="n"/>
      <c r="T9" s="667" t="n"/>
      <c r="U9" s="666" t="n"/>
      <c r="V9" s="667" t="n"/>
      <c r="W9" s="668" t="n"/>
      <c r="X9" s="231" t="n"/>
      <c r="Y9" s="666" t="n"/>
      <c r="Z9" s="667" t="n"/>
      <c r="AA9" s="661" t="n"/>
      <c r="AB9" s="667" t="n"/>
      <c r="AE9" s="666" t="n"/>
      <c r="AF9" s="667" t="n"/>
      <c r="AG9" s="666" t="n"/>
      <c r="AH9" s="667" t="n"/>
      <c r="AI9" s="666" t="n"/>
      <c r="AJ9" s="667" t="n"/>
      <c r="AK9" s="666" t="n"/>
      <c r="AL9" s="667" t="n"/>
    </row>
    <row r="10" ht="15" customHeight="1" s="669">
      <c r="A10" s="655" t="inlineStr">
        <is>
          <t>Unadjusted Price/SF</t>
        </is>
      </c>
      <c r="B10" s="670" t="n"/>
      <c r="C10" s="671" t="n"/>
      <c r="D10" s="672" t="n"/>
      <c r="E10" s="673">
        <f>ROUND(E8/E9,2)</f>
        <v/>
      </c>
      <c r="F10" s="672" t="n"/>
      <c r="G10" s="673">
        <f>ROUND(G8/G9,2)</f>
        <v/>
      </c>
      <c r="H10" s="672" t="n"/>
      <c r="I10" s="673">
        <f>ROUND(I8/I9,2)</f>
        <v/>
      </c>
      <c r="J10" s="672" t="n"/>
      <c r="K10" s="673">
        <f>ROUND(K8/K9,2)</f>
        <v/>
      </c>
      <c r="L10" s="672" t="n"/>
      <c r="M10" s="673">
        <f>ROUND(M8/M9,2)</f>
        <v/>
      </c>
      <c r="N10" s="672" t="n"/>
      <c r="O10" s="673">
        <f>ROUND(O8/O9,2)</f>
        <v/>
      </c>
      <c r="P10" s="672" t="n"/>
      <c r="Q10" s="673">
        <f>ROUND(Q8/Q9,2)</f>
        <v/>
      </c>
      <c r="R10" s="674" t="n"/>
      <c r="S10" s="672" t="n"/>
      <c r="T10" s="673">
        <f>ROUND(T8/T9,2)</f>
        <v/>
      </c>
      <c r="U10" s="672" t="n"/>
      <c r="V10" s="673">
        <f>ROUND(V8/V9,2)</f>
        <v/>
      </c>
      <c r="W10" s="227" t="n"/>
      <c r="X10" s="673">
        <f>ROUND(X8/X9,2)</f>
        <v/>
      </c>
      <c r="Y10" s="672" t="n"/>
      <c r="Z10" s="673">
        <f>ROUND(Z8/Z9,2)</f>
        <v/>
      </c>
      <c r="AA10" s="661" t="n"/>
      <c r="AB10" s="673">
        <f>ROUND(AB8/AB9,2)</f>
        <v/>
      </c>
      <c r="AE10" s="672" t="n"/>
      <c r="AF10" s="673">
        <f>ROUND(AF8/AF9,2)</f>
        <v/>
      </c>
      <c r="AG10" s="672" t="n"/>
      <c r="AH10" s="673">
        <f>ROUND(AH8/AH9,2)</f>
        <v/>
      </c>
      <c r="AI10" s="672" t="n"/>
      <c r="AJ10" s="673">
        <f>ROUND(AJ8/AJ9,2)</f>
        <v/>
      </c>
      <c r="AK10" s="672" t="n"/>
      <c r="AL10" s="673">
        <f>ROUND(AL8/AL9,2)</f>
        <v/>
      </c>
    </row>
    <row r="11">
      <c r="A11" s="655" t="inlineStr">
        <is>
          <t>Gross Land Area (AC)</t>
        </is>
      </c>
      <c r="B11" s="675" t="inlineStr">
        <is>
          <t>AUTO:landAC</t>
        </is>
      </c>
      <c r="C11" s="235" t="n"/>
      <c r="D11" s="676" t="n"/>
      <c r="E11" s="677" t="n"/>
      <c r="F11" s="676" t="n"/>
      <c r="G11" s="678" t="n"/>
      <c r="H11" s="676" t="n"/>
      <c r="I11" s="677" t="n"/>
      <c r="J11" s="676" t="n"/>
      <c r="K11" s="678" t="n"/>
      <c r="L11" s="676" t="n"/>
      <c r="M11" s="678" t="n"/>
      <c r="N11" s="676" t="n"/>
      <c r="O11" s="678" t="n"/>
      <c r="P11" s="676" t="n"/>
      <c r="Q11" s="678" t="n"/>
      <c r="R11" s="679" t="n"/>
      <c r="S11" s="676" t="n"/>
      <c r="T11" s="678" t="n"/>
      <c r="U11" s="676" t="n"/>
      <c r="V11" s="678" t="n"/>
      <c r="W11" s="680" t="n"/>
      <c r="X11" s="678" t="n"/>
      <c r="Y11" s="676" t="n"/>
      <c r="Z11" s="678" t="n"/>
      <c r="AA11" s="676" t="n"/>
      <c r="AB11" s="677" t="n"/>
      <c r="AE11" s="676" t="n"/>
      <c r="AF11" s="678" t="n"/>
      <c r="AG11" s="676" t="n"/>
      <c r="AH11" s="678" t="n"/>
      <c r="AI11" s="676" t="n"/>
      <c r="AJ11" s="678" t="n"/>
      <c r="AK11" s="676" t="n"/>
      <c r="AL11" s="678" t="n"/>
    </row>
    <row r="12">
      <c r="A12" s="655" t="inlineStr">
        <is>
          <t>Gross Land Area (SF)</t>
        </is>
      </c>
      <c r="B12" s="681">
        <f>B11*43560</f>
        <v/>
      </c>
      <c r="C12" s="235" t="n"/>
      <c r="D12" s="676" t="n"/>
      <c r="E12" s="682">
        <f>E11*43560</f>
        <v/>
      </c>
      <c r="F12" s="676" t="n"/>
      <c r="G12" s="682">
        <f>G11*43560</f>
        <v/>
      </c>
      <c r="H12" s="676" t="n"/>
      <c r="I12" s="682">
        <f>I11*43560</f>
        <v/>
      </c>
      <c r="J12" s="676" t="n"/>
      <c r="K12" s="682">
        <f>K11*43560</f>
        <v/>
      </c>
      <c r="L12" s="676" t="n"/>
      <c r="M12" s="682">
        <f>M11*43560</f>
        <v/>
      </c>
      <c r="N12" s="676" t="n"/>
      <c r="O12" s="682">
        <f>O11*43560</f>
        <v/>
      </c>
      <c r="P12" s="676" t="n"/>
      <c r="Q12" s="682">
        <f>Q11*43560</f>
        <v/>
      </c>
      <c r="R12" s="683" t="n"/>
      <c r="S12" s="676" t="n"/>
      <c r="T12" s="682">
        <f>T11*43560</f>
        <v/>
      </c>
      <c r="U12" s="676" t="n"/>
      <c r="V12" s="682">
        <f>V11*43560</f>
        <v/>
      </c>
      <c r="W12" s="676" t="n"/>
      <c r="X12" s="682">
        <f>X11*43560</f>
        <v/>
      </c>
      <c r="Y12" s="676" t="n"/>
      <c r="Z12" s="682">
        <f>Z11*43560</f>
        <v/>
      </c>
      <c r="AA12" s="676" t="n"/>
      <c r="AB12" s="682">
        <f>AB11*43560</f>
        <v/>
      </c>
      <c r="AE12" s="676" t="n"/>
      <c r="AF12" s="682">
        <f>AF11*43560</f>
        <v/>
      </c>
      <c r="AG12" s="676" t="n"/>
      <c r="AH12" s="682">
        <f>AH11*43560</f>
        <v/>
      </c>
      <c r="AI12" s="676" t="n"/>
      <c r="AJ12" s="682">
        <f>AJ11*43560</f>
        <v/>
      </c>
      <c r="AK12" s="676" t="n"/>
      <c r="AL12" s="682">
        <f>AL11*43560</f>
        <v/>
      </c>
    </row>
    <row r="13" ht="15" customHeight="1" s="669">
      <c r="A13" s="655" t="inlineStr">
        <is>
          <t>Unadjusted Price/SF of Land incl. Bldg,</t>
        </is>
      </c>
      <c r="B13" s="670" t="n"/>
      <c r="C13" s="671" t="n"/>
      <c r="D13" s="672" t="n"/>
      <c r="E13" s="673">
        <f>ROUND(E8/E12,2)</f>
        <v/>
      </c>
      <c r="F13" s="672" t="n"/>
      <c r="G13" s="673">
        <f>ROUND(G8/G12,2)</f>
        <v/>
      </c>
      <c r="H13" s="672" t="n"/>
      <c r="I13" s="673">
        <f>ROUND(I8/I12,2)</f>
        <v/>
      </c>
      <c r="J13" s="672" t="n"/>
      <c r="K13" s="673">
        <f>ROUND(K8/K12,2)</f>
        <v/>
      </c>
      <c r="L13" s="676" t="n"/>
      <c r="M13" s="673">
        <f>ROUND(M8/M12,2)</f>
        <v/>
      </c>
      <c r="N13" s="672" t="n"/>
      <c r="O13" s="673">
        <f>ROUND(O8/O12,2)</f>
        <v/>
      </c>
      <c r="P13" s="672" t="n"/>
      <c r="Q13" s="673">
        <f>ROUND(Q8/Q12,2)</f>
        <v/>
      </c>
      <c r="R13" s="674" t="n"/>
      <c r="S13" s="672" t="n"/>
      <c r="T13" s="673">
        <f>ROUND(T8/T12,2)</f>
        <v/>
      </c>
      <c r="U13" s="672" t="n"/>
      <c r="V13" s="673">
        <f>ROUND(V8/V12,2)</f>
        <v/>
      </c>
      <c r="W13" s="672" t="n"/>
      <c r="X13" s="673">
        <f>ROUND(X8/X12,2)</f>
        <v/>
      </c>
      <c r="Y13" s="672" t="n"/>
      <c r="Z13" s="673">
        <f>ROUND(Z8/Z12,2)</f>
        <v/>
      </c>
      <c r="AA13" s="672" t="n"/>
      <c r="AB13" s="673">
        <f>ROUND(AB8/AB12,2)</f>
        <v/>
      </c>
      <c r="AE13" s="672" t="n"/>
      <c r="AF13" s="673">
        <f>ROUND(AF8/AF12,2)</f>
        <v/>
      </c>
      <c r="AG13" s="672" t="n"/>
      <c r="AH13" s="673">
        <f>ROUND(AH8/AH12,2)</f>
        <v/>
      </c>
      <c r="AI13" s="672" t="n"/>
      <c r="AJ13" s="673">
        <f>ROUND(AJ8/AJ12,2)</f>
        <v/>
      </c>
      <c r="AK13" s="672" t="n"/>
      <c r="AL13" s="673">
        <f>ROUND(AL8/AL12,2)</f>
        <v/>
      </c>
    </row>
    <row r="14" ht="17.65" customHeight="1" s="669">
      <c r="A14" s="655" t="n"/>
      <c r="B14" s="653" t="n"/>
      <c r="C14" s="655" t="n"/>
      <c r="D14" s="653" t="n"/>
      <c r="E14" s="655" t="n"/>
      <c r="F14" s="653" t="n"/>
      <c r="G14" s="655" t="n"/>
      <c r="H14" s="653" t="n"/>
      <c r="I14" s="655" t="n"/>
      <c r="J14" s="653" t="n"/>
      <c r="K14" s="655" t="n"/>
      <c r="L14" s="653" t="n"/>
      <c r="M14" s="655" t="n"/>
      <c r="N14" s="653" t="n"/>
      <c r="O14" s="655" t="n"/>
      <c r="P14" s="653" t="n"/>
      <c r="Q14" s="655" t="n"/>
      <c r="R14" s="653" t="n"/>
      <c r="S14" s="653" t="n"/>
      <c r="T14" s="655" t="n"/>
      <c r="U14" s="653" t="n"/>
      <c r="V14" s="655" t="n"/>
      <c r="W14" s="684" t="n"/>
      <c r="X14" s="655" t="n"/>
      <c r="Y14" s="653" t="n"/>
      <c r="Z14" s="655" t="n"/>
      <c r="AA14" s="685" t="n"/>
      <c r="AB14" s="655" t="n"/>
      <c r="AE14" s="653" t="n"/>
      <c r="AF14" s="655" t="n"/>
      <c r="AG14" s="653" t="n"/>
      <c r="AH14" s="655" t="n"/>
      <c r="AI14" s="653" t="n"/>
      <c r="AJ14" s="655" t="n"/>
      <c r="AK14" s="653" t="n"/>
      <c r="AL14" s="655" t="n"/>
    </row>
    <row r="15">
      <c r="A15" s="655" t="inlineStr">
        <is>
          <t>Rights Conveyed Adjustment</t>
        </is>
      </c>
      <c r="B15" s="686" t="inlineStr">
        <is>
          <t>Fee Simple</t>
        </is>
      </c>
      <c r="C15" s="655" t="n"/>
      <c r="D15" s="686" t="inlineStr">
        <is>
          <t>Equal</t>
        </is>
      </c>
      <c r="E15" s="687" t="n">
        <v>0</v>
      </c>
      <c r="F15" s="686" t="inlineStr">
        <is>
          <t>Equal</t>
        </is>
      </c>
      <c r="G15" s="687" t="n">
        <v>0</v>
      </c>
      <c r="H15" s="686" t="inlineStr">
        <is>
          <t>Equal</t>
        </is>
      </c>
      <c r="I15" s="687" t="n">
        <v>0</v>
      </c>
      <c r="J15" s="686" t="inlineStr">
        <is>
          <t>Equal</t>
        </is>
      </c>
      <c r="K15" s="687" t="n">
        <v>0</v>
      </c>
      <c r="L15" s="686" t="inlineStr">
        <is>
          <t>Equal</t>
        </is>
      </c>
      <c r="M15" s="687" t="n">
        <v>0</v>
      </c>
      <c r="N15" s="686" t="inlineStr">
        <is>
          <t>Equal</t>
        </is>
      </c>
      <c r="O15" s="687" t="n">
        <v>0</v>
      </c>
      <c r="P15" s="686" t="inlineStr">
        <is>
          <t>Equal</t>
        </is>
      </c>
      <c r="Q15" s="687" t="n">
        <v>0</v>
      </c>
      <c r="R15" s="688" t="n"/>
      <c r="S15" s="686" t="inlineStr">
        <is>
          <t>Equal</t>
        </is>
      </c>
      <c r="T15" s="687" t="n">
        <v>0</v>
      </c>
      <c r="U15" s="686" t="inlineStr">
        <is>
          <t>Equal</t>
        </is>
      </c>
      <c r="V15" s="687" t="n">
        <v>0</v>
      </c>
      <c r="W15" s="689" t="inlineStr">
        <is>
          <t>Equal</t>
        </is>
      </c>
      <c r="X15" s="687" t="n">
        <v>0</v>
      </c>
      <c r="Y15" s="686" t="inlineStr">
        <is>
          <t>Equal</t>
        </is>
      </c>
      <c r="Z15" s="687" t="n">
        <v>0</v>
      </c>
      <c r="AA15" s="686" t="inlineStr">
        <is>
          <t>Equal</t>
        </is>
      </c>
      <c r="AB15" s="687" t="n">
        <v>0</v>
      </c>
      <c r="AE15" s="686" t="inlineStr">
        <is>
          <t>Equal</t>
        </is>
      </c>
      <c r="AF15" s="687" t="n">
        <v>0</v>
      </c>
      <c r="AG15" s="686" t="inlineStr">
        <is>
          <t>Equal</t>
        </is>
      </c>
      <c r="AH15" s="687" t="n">
        <v>0</v>
      </c>
      <c r="AI15" s="686" t="inlineStr">
        <is>
          <t>Equal</t>
        </is>
      </c>
      <c r="AJ15" s="687" t="n">
        <v>0</v>
      </c>
      <c r="AK15" s="686" t="inlineStr">
        <is>
          <t>Equal</t>
        </is>
      </c>
      <c r="AL15" s="687" t="n">
        <v>0</v>
      </c>
    </row>
    <row r="16">
      <c r="A16" s="655" t="inlineStr">
        <is>
          <t>Price Adjusted for Rights Conveyed</t>
        </is>
      </c>
      <c r="B16" s="690" t="n"/>
      <c r="C16" s="671" t="n"/>
      <c r="D16" s="686" t="n"/>
      <c r="E16" s="673">
        <f>ROUND((E10*E15)+E10,2)</f>
        <v/>
      </c>
      <c r="F16" s="686" t="n"/>
      <c r="G16" s="673">
        <f>ROUND((G10*G15)+G10,2)</f>
        <v/>
      </c>
      <c r="H16" s="686" t="n"/>
      <c r="I16" s="673">
        <f>ROUND((I10*I15)+I10,2)</f>
        <v/>
      </c>
      <c r="J16" s="686" t="n"/>
      <c r="K16" s="673">
        <f>ROUND((K10*K15)+K10,2)</f>
        <v/>
      </c>
      <c r="L16" s="686" t="n"/>
      <c r="M16" s="673">
        <f>ROUND((M10*M15)+M10,2)</f>
        <v/>
      </c>
      <c r="N16" s="686" t="n"/>
      <c r="O16" s="673">
        <f>ROUND((O10*O15)+O10,2)</f>
        <v/>
      </c>
      <c r="P16" s="686" t="n"/>
      <c r="Q16" s="673">
        <f>ROUND((Q10*Q15)+Q10,2)</f>
        <v/>
      </c>
      <c r="R16" s="674" t="n"/>
      <c r="S16" s="686" t="n"/>
      <c r="T16" s="673">
        <f>ROUND((T10*T15)+T10,2)</f>
        <v/>
      </c>
      <c r="U16" s="686" t="n"/>
      <c r="V16" s="673">
        <f>ROUND((V10*V15)+V10,2)</f>
        <v/>
      </c>
      <c r="W16" s="689" t="n"/>
      <c r="X16" s="673">
        <f>ROUND((X10*X15)+X10,2)</f>
        <v/>
      </c>
      <c r="Y16" s="686" t="n"/>
      <c r="Z16" s="673">
        <f>ROUND((Z10*Z15)+Z10,2)</f>
        <v/>
      </c>
      <c r="AA16" s="686" t="n"/>
      <c r="AB16" s="673">
        <f>ROUND((AB10*AB15)+AB10,2)</f>
        <v/>
      </c>
      <c r="AE16" s="686" t="n"/>
      <c r="AF16" s="673">
        <f>ROUND((AF10*AF15)+AF10,2)</f>
        <v/>
      </c>
      <c r="AG16" s="686" t="n"/>
      <c r="AH16" s="673">
        <f>ROUND((AH10*AH15)+AH10,2)</f>
        <v/>
      </c>
      <c r="AI16" s="686" t="n"/>
      <c r="AJ16" s="673">
        <f>ROUND((AJ10*AJ15)+AJ10,2)</f>
        <v/>
      </c>
      <c r="AK16" s="686" t="n"/>
      <c r="AL16" s="673">
        <f>ROUND((AL10*AL15)+AL10,2)</f>
        <v/>
      </c>
    </row>
    <row r="17">
      <c r="A17" s="655" t="n"/>
      <c r="B17" s="686" t="n"/>
      <c r="C17" s="655" t="n"/>
      <c r="D17" s="686" t="n"/>
      <c r="E17" s="691" t="n"/>
      <c r="F17" s="686" t="n"/>
      <c r="G17" s="691" t="n"/>
      <c r="H17" s="686" t="n"/>
      <c r="I17" s="691" t="n"/>
      <c r="J17" s="686" t="n"/>
      <c r="K17" s="691" t="n"/>
      <c r="L17" s="686" t="n"/>
      <c r="M17" s="691" t="n"/>
      <c r="N17" s="686" t="n"/>
      <c r="O17" s="691" t="n"/>
      <c r="P17" s="686" t="n"/>
      <c r="Q17" s="691" t="n"/>
      <c r="R17" s="692" t="n"/>
      <c r="S17" s="686" t="n"/>
      <c r="T17" s="691" t="n"/>
      <c r="U17" s="686" t="n"/>
      <c r="V17" s="691" t="n"/>
      <c r="W17" s="689" t="n"/>
      <c r="X17" s="691" t="n"/>
      <c r="Y17" s="686" t="n"/>
      <c r="Z17" s="691" t="n"/>
      <c r="AA17" s="686" t="n"/>
      <c r="AB17" s="691" t="n"/>
      <c r="AE17" s="686" t="n"/>
      <c r="AF17" s="691" t="n"/>
      <c r="AG17" s="686" t="n"/>
      <c r="AH17" s="691" t="n"/>
      <c r="AI17" s="686" t="n"/>
      <c r="AJ17" s="691" t="n"/>
      <c r="AK17" s="686" t="n"/>
      <c r="AL17" s="691" t="n"/>
    </row>
    <row r="18">
      <c r="A18" s="655" t="inlineStr">
        <is>
          <t>Financing Adjustment</t>
        </is>
      </c>
      <c r="B18" s="686" t="inlineStr">
        <is>
          <t>Market-typical</t>
        </is>
      </c>
      <c r="C18" s="655" t="n"/>
      <c r="D18" s="686" t="inlineStr">
        <is>
          <t>Equal</t>
        </is>
      </c>
      <c r="E18" s="687" t="n">
        <v>0</v>
      </c>
      <c r="F18" s="686" t="inlineStr">
        <is>
          <t>Equal</t>
        </is>
      </c>
      <c r="G18" s="687" t="n">
        <v>0</v>
      </c>
      <c r="H18" s="686" t="inlineStr">
        <is>
          <t>Equal</t>
        </is>
      </c>
      <c r="I18" s="687" t="n">
        <v>0</v>
      </c>
      <c r="J18" s="686" t="inlineStr">
        <is>
          <t>Equal</t>
        </is>
      </c>
      <c r="K18" s="687" t="n">
        <v>0</v>
      </c>
      <c r="L18" s="686" t="inlineStr">
        <is>
          <t>Equal</t>
        </is>
      </c>
      <c r="M18" s="687" t="n">
        <v>0</v>
      </c>
      <c r="N18" s="686" t="inlineStr">
        <is>
          <t>Equal</t>
        </is>
      </c>
      <c r="O18" s="687" t="n">
        <v>0</v>
      </c>
      <c r="P18" s="686" t="inlineStr">
        <is>
          <t>Equal</t>
        </is>
      </c>
      <c r="Q18" s="687" t="n">
        <v>0</v>
      </c>
      <c r="R18" s="688" t="n"/>
      <c r="S18" s="686" t="inlineStr">
        <is>
          <t>Equal</t>
        </is>
      </c>
      <c r="T18" s="687" t="n">
        <v>0</v>
      </c>
      <c r="U18" s="686" t="inlineStr">
        <is>
          <t>Equal</t>
        </is>
      </c>
      <c r="V18" s="687" t="n">
        <v>0</v>
      </c>
      <c r="W18" s="689" t="inlineStr">
        <is>
          <t>Equal</t>
        </is>
      </c>
      <c r="X18" s="687" t="n">
        <v>0</v>
      </c>
      <c r="Y18" s="686" t="inlineStr">
        <is>
          <t>Equal</t>
        </is>
      </c>
      <c r="Z18" s="687" t="n">
        <v>0</v>
      </c>
      <c r="AA18" s="686" t="inlineStr">
        <is>
          <t>Equal</t>
        </is>
      </c>
      <c r="AB18" s="687" t="n">
        <v>0</v>
      </c>
      <c r="AE18" s="686" t="inlineStr">
        <is>
          <t>Equal</t>
        </is>
      </c>
      <c r="AF18" s="687" t="n">
        <v>0</v>
      </c>
      <c r="AG18" s="686" t="inlineStr">
        <is>
          <t>Equal</t>
        </is>
      </c>
      <c r="AH18" s="687" t="n">
        <v>0</v>
      </c>
      <c r="AI18" s="686" t="inlineStr">
        <is>
          <t>Equal</t>
        </is>
      </c>
      <c r="AJ18" s="687" t="n">
        <v>0</v>
      </c>
      <c r="AK18" s="686" t="inlineStr">
        <is>
          <t>Equal</t>
        </is>
      </c>
      <c r="AL18" s="687" t="n">
        <v>0</v>
      </c>
    </row>
    <row r="19">
      <c r="A19" s="655" t="inlineStr">
        <is>
          <t>Price Adjusted for Financing</t>
        </is>
      </c>
      <c r="B19" s="690" t="n"/>
      <c r="C19" s="671" t="n"/>
      <c r="D19" s="686" t="n"/>
      <c r="E19" s="673">
        <f>ROUND((E16*E18)+E16,2)</f>
        <v/>
      </c>
      <c r="F19" s="686" t="n"/>
      <c r="G19" s="673">
        <f>ROUND((G16*G18)+G16,2)</f>
        <v/>
      </c>
      <c r="H19" s="686" t="n"/>
      <c r="I19" s="673">
        <f>ROUND((I16*I18)+I16,2)</f>
        <v/>
      </c>
      <c r="J19" s="686" t="n"/>
      <c r="K19" s="673">
        <f>ROUND((K16*K18)+K16,2)</f>
        <v/>
      </c>
      <c r="L19" s="686" t="n"/>
      <c r="M19" s="673">
        <f>ROUND((M16*M18)+M16,2)</f>
        <v/>
      </c>
      <c r="N19" s="686" t="n"/>
      <c r="O19" s="673">
        <f>ROUND((O16*O18)+O16,2)</f>
        <v/>
      </c>
      <c r="P19" s="686" t="n"/>
      <c r="Q19" s="673">
        <f>ROUND((Q16*Q18)+Q16,2)</f>
        <v/>
      </c>
      <c r="R19" s="674" t="n"/>
      <c r="S19" s="686" t="n"/>
      <c r="T19" s="673">
        <f>ROUND((T16*T18)+T16,2)</f>
        <v/>
      </c>
      <c r="U19" s="686" t="n"/>
      <c r="V19" s="673">
        <f>ROUND((V16*V18)+V16,2)</f>
        <v/>
      </c>
      <c r="W19" s="689" t="n"/>
      <c r="X19" s="673">
        <f>ROUND((X16*X18)+X16,2)</f>
        <v/>
      </c>
      <c r="Y19" s="686" t="n"/>
      <c r="Z19" s="673">
        <f>ROUND((Z16*Z18)+Z16,2)</f>
        <v/>
      </c>
      <c r="AA19" s="686" t="n"/>
      <c r="AB19" s="673">
        <f>ROUND((AB16*AB18)+AB16,2)</f>
        <v/>
      </c>
      <c r="AE19" s="686" t="n"/>
      <c r="AF19" s="673">
        <f>ROUND((AF16*AF18)+AF16,2)</f>
        <v/>
      </c>
      <c r="AG19" s="686" t="n"/>
      <c r="AH19" s="673">
        <f>ROUND((AH16*AH18)+AH16,2)</f>
        <v/>
      </c>
      <c r="AI19" s="686" t="n"/>
      <c r="AJ19" s="673">
        <f>ROUND((AJ16*AJ18)+AJ16,2)</f>
        <v/>
      </c>
      <c r="AK19" s="686" t="n"/>
      <c r="AL19" s="673">
        <f>ROUND((AL16*AL18)+AL16,2)</f>
        <v/>
      </c>
    </row>
    <row r="20">
      <c r="A20" s="655" t="n"/>
      <c r="B20" s="686" t="n"/>
      <c r="C20" s="655" t="n"/>
      <c r="D20" s="686" t="n"/>
      <c r="E20" s="691" t="n"/>
      <c r="F20" s="686" t="n"/>
      <c r="G20" s="691" t="n"/>
      <c r="H20" s="686" t="n"/>
      <c r="I20" s="691" t="n"/>
      <c r="J20" s="686" t="n"/>
      <c r="K20" s="691" t="n"/>
      <c r="L20" s="686" t="n"/>
      <c r="M20" s="691" t="n"/>
      <c r="N20" s="686" t="n"/>
      <c r="O20" s="691" t="n"/>
      <c r="P20" s="686" t="n"/>
      <c r="Q20" s="691" t="n"/>
      <c r="R20" s="692" t="n"/>
      <c r="S20" s="686" t="n"/>
      <c r="T20" s="691" t="n"/>
      <c r="U20" s="686" t="n"/>
      <c r="V20" s="691" t="n"/>
      <c r="W20" s="689" t="n"/>
      <c r="X20" s="691" t="n"/>
      <c r="Y20" s="686" t="n"/>
      <c r="Z20" s="691" t="n"/>
      <c r="AA20" s="686" t="n"/>
      <c r="AB20" s="673" t="n"/>
      <c r="AE20" s="686" t="n"/>
      <c r="AF20" s="691" t="n"/>
      <c r="AG20" s="686" t="n"/>
      <c r="AH20" s="691" t="n"/>
      <c r="AI20" s="686" t="n"/>
      <c r="AJ20" s="691" t="n"/>
      <c r="AK20" s="686" t="n"/>
      <c r="AL20" s="691" t="n"/>
    </row>
    <row r="21">
      <c r="A21" s="655" t="inlineStr">
        <is>
          <t>Conditions of Sale Adjustment</t>
        </is>
      </c>
      <c r="B21" s="693" t="inlineStr">
        <is>
          <t>Arm's length</t>
        </is>
      </c>
      <c r="C21" s="242" t="n"/>
      <c r="D21" s="686" t="inlineStr">
        <is>
          <t>Equal</t>
        </is>
      </c>
      <c r="E21" s="687" t="n">
        <v>0</v>
      </c>
      <c r="F21" s="686" t="inlineStr">
        <is>
          <t>Equal</t>
        </is>
      </c>
      <c r="G21" s="687" t="n">
        <v>0</v>
      </c>
      <c r="H21" s="686" t="inlineStr">
        <is>
          <t>Equal</t>
        </is>
      </c>
      <c r="I21" s="687" t="n">
        <v>0</v>
      </c>
      <c r="J21" s="686" t="inlineStr">
        <is>
          <t>Equal</t>
        </is>
      </c>
      <c r="K21" s="687" t="n">
        <v>0</v>
      </c>
      <c r="L21" s="686" t="inlineStr">
        <is>
          <t>Equal</t>
        </is>
      </c>
      <c r="M21" s="687" t="n">
        <v>0</v>
      </c>
      <c r="N21" s="686" t="inlineStr">
        <is>
          <t>Equal</t>
        </is>
      </c>
      <c r="O21" s="687" t="n">
        <v>0</v>
      </c>
      <c r="P21" s="686" t="inlineStr">
        <is>
          <t>Equal</t>
        </is>
      </c>
      <c r="Q21" s="687" t="n">
        <v>0</v>
      </c>
      <c r="R21" s="688" t="n"/>
      <c r="S21" s="686" t="inlineStr">
        <is>
          <t>Equal</t>
        </is>
      </c>
      <c r="T21" s="687" t="n">
        <v>0</v>
      </c>
      <c r="U21" s="686" t="inlineStr">
        <is>
          <t>Equal</t>
        </is>
      </c>
      <c r="V21" s="687" t="n">
        <v>0</v>
      </c>
      <c r="W21" s="689" t="inlineStr">
        <is>
          <t>Equal</t>
        </is>
      </c>
      <c r="X21" s="687" t="n">
        <v>0</v>
      </c>
      <c r="Y21" s="686" t="inlineStr">
        <is>
          <t>Equal</t>
        </is>
      </c>
      <c r="Z21" s="687" t="n">
        <v>0</v>
      </c>
      <c r="AA21" s="686" t="inlineStr">
        <is>
          <t>Equal</t>
        </is>
      </c>
      <c r="AB21" s="687" t="n">
        <v>0</v>
      </c>
      <c r="AE21" s="686" t="inlineStr">
        <is>
          <t>Equal</t>
        </is>
      </c>
      <c r="AF21" s="687" t="n">
        <v>0</v>
      </c>
      <c r="AG21" s="686" t="inlineStr">
        <is>
          <t>Equal</t>
        </is>
      </c>
      <c r="AH21" s="687" t="n">
        <v>0</v>
      </c>
      <c r="AI21" s="686" t="inlineStr">
        <is>
          <t>Equal</t>
        </is>
      </c>
      <c r="AJ21" s="687" t="n">
        <v>0</v>
      </c>
      <c r="AK21" s="686" t="inlineStr">
        <is>
          <t>Equal</t>
        </is>
      </c>
      <c r="AL21" s="687" t="n">
        <v>0</v>
      </c>
    </row>
    <row r="22">
      <c r="A22" s="655" t="inlineStr">
        <is>
          <t>Price Adjusted for Conditions of Sale</t>
        </is>
      </c>
      <c r="B22" s="670" t="n"/>
      <c r="C22" s="671" t="n"/>
      <c r="D22" s="653" t="n"/>
      <c r="E22" s="673">
        <f>ROUND((E19*E21)+E19,2)</f>
        <v/>
      </c>
      <c r="F22" s="653" t="n"/>
      <c r="G22" s="673">
        <f>ROUND((G19*G21)+G19,2)</f>
        <v/>
      </c>
      <c r="H22" s="653" t="n"/>
      <c r="I22" s="673">
        <f>ROUND((I19*I21)+I19,2)</f>
        <v/>
      </c>
      <c r="J22" s="653" t="n"/>
      <c r="K22" s="673">
        <f>ROUND((K19*K21)+K19,2)</f>
        <v/>
      </c>
      <c r="L22" s="653" t="n"/>
      <c r="M22" s="673">
        <f>ROUND((M19*M21)+M19,2)</f>
        <v/>
      </c>
      <c r="N22" s="653" t="n"/>
      <c r="O22" s="673">
        <f>ROUND((O19*O21)+O19,2)</f>
        <v/>
      </c>
      <c r="P22" s="653" t="n"/>
      <c r="Q22" s="673">
        <f>ROUND((Q19*Q21)+Q19,2)</f>
        <v/>
      </c>
      <c r="R22" s="674" t="n"/>
      <c r="S22" s="653" t="n"/>
      <c r="T22" s="673">
        <f>ROUND((T19*T21)+T19,2)</f>
        <v/>
      </c>
      <c r="U22" s="653" t="n"/>
      <c r="V22" s="673">
        <f>ROUND((V19*V21)+V19,2)</f>
        <v/>
      </c>
      <c r="W22" s="694" t="n"/>
      <c r="X22" s="673">
        <f>ROUND((X19*X21)+X19,2)</f>
        <v/>
      </c>
      <c r="Y22" s="653" t="n"/>
      <c r="Z22" s="673">
        <f>ROUND((Z19*Z21)+Z19,2)</f>
        <v/>
      </c>
      <c r="AA22" s="653" t="n"/>
      <c r="AB22" s="673">
        <f>ROUND((AB19*AB21)+AB19,2)</f>
        <v/>
      </c>
      <c r="AE22" s="653" t="n"/>
      <c r="AF22" s="673">
        <f>ROUND((AF19*AF21)+AF19,2)</f>
        <v/>
      </c>
      <c r="AG22" s="653" t="n"/>
      <c r="AH22" s="673">
        <f>ROUND((AH19*AH21)+AH19,2)</f>
        <v/>
      </c>
      <c r="AI22" s="653" t="n"/>
      <c r="AJ22" s="673">
        <f>ROUND((AJ19*AJ21)+AJ19,2)</f>
        <v/>
      </c>
      <c r="AK22" s="653" t="n"/>
      <c r="AL22" s="673">
        <f>ROUND((AL19*AL21)+AL19,2)</f>
        <v/>
      </c>
    </row>
    <row r="23">
      <c r="A23" s="655" t="n"/>
      <c r="B23" s="653" t="n"/>
      <c r="C23" s="655" t="n"/>
      <c r="D23" s="653" t="n"/>
      <c r="E23" s="691" t="n"/>
      <c r="F23" s="653" t="n"/>
      <c r="G23" s="691" t="n"/>
      <c r="H23" s="653" t="n"/>
      <c r="I23" s="691" t="n"/>
      <c r="J23" s="653" t="n"/>
      <c r="K23" s="691" t="n"/>
      <c r="L23" s="653" t="n"/>
      <c r="M23" s="691" t="n"/>
      <c r="N23" s="653" t="n"/>
      <c r="O23" s="691" t="n"/>
      <c r="P23" s="653" t="n"/>
      <c r="Q23" s="691" t="n"/>
      <c r="R23" s="692" t="n"/>
      <c r="S23" s="653" t="n"/>
      <c r="T23" s="691" t="n"/>
      <c r="U23" s="653" t="n"/>
      <c r="V23" s="691" t="n"/>
      <c r="W23" s="694" t="n"/>
      <c r="X23" s="691" t="n"/>
      <c r="Y23" s="653" t="n"/>
      <c r="Z23" s="691" t="n"/>
      <c r="AA23" s="653" t="n"/>
      <c r="AB23" s="691" t="n"/>
      <c r="AE23" s="653" t="n"/>
      <c r="AF23" s="691" t="n"/>
      <c r="AG23" s="653" t="n"/>
      <c r="AH23" s="691" t="n"/>
      <c r="AI23" s="653" t="n"/>
      <c r="AJ23" s="691" t="n"/>
      <c r="AK23" s="653" t="n"/>
      <c r="AL23" s="691" t="n"/>
    </row>
    <row r="24">
      <c r="A24" s="655" t="inlineStr">
        <is>
          <t>Market Conditions Adjustment</t>
        </is>
      </c>
      <c r="B24" s="695" t="inlineStr">
        <is>
          <t>AUTO:effectivedate</t>
        </is>
      </c>
      <c r="C24" s="696" t="n"/>
      <c r="D24" s="172" t="n"/>
      <c r="E24" s="687" t="n">
        <v>0</v>
      </c>
      <c r="F24" s="172" t="n"/>
      <c r="G24" s="687" t="n">
        <v>0</v>
      </c>
      <c r="H24" s="172" t="n"/>
      <c r="I24" s="687" t="n">
        <v>0</v>
      </c>
      <c r="J24" s="172" t="n"/>
      <c r="K24" s="687" t="n">
        <v>0</v>
      </c>
      <c r="L24" s="172" t="n"/>
      <c r="M24" s="687" t="n">
        <v>0</v>
      </c>
      <c r="N24" s="172" t="n"/>
      <c r="O24" s="687" t="n">
        <v>0</v>
      </c>
      <c r="P24" s="172" t="n"/>
      <c r="Q24" s="687" t="n">
        <v>0</v>
      </c>
      <c r="R24" s="688" t="n"/>
      <c r="S24" s="172" t="n"/>
      <c r="T24" s="687" t="n">
        <v>0</v>
      </c>
      <c r="U24" s="172" t="n"/>
      <c r="V24" s="687" t="n">
        <v>0</v>
      </c>
      <c r="W24" s="244" t="n"/>
      <c r="X24" s="687" t="n">
        <v>0</v>
      </c>
      <c r="Y24" s="172" t="n"/>
      <c r="Z24" s="687" t="n">
        <v>0</v>
      </c>
      <c r="AA24" s="172" t="n"/>
      <c r="AB24" s="687" t="n">
        <v>0</v>
      </c>
      <c r="AE24" s="172" t="n"/>
      <c r="AF24" s="687" t="n">
        <v>0</v>
      </c>
      <c r="AG24" s="172" t="n"/>
      <c r="AH24" s="687" t="n">
        <v>0</v>
      </c>
      <c r="AI24" s="172" t="n"/>
      <c r="AJ24" s="687" t="n">
        <v>0</v>
      </c>
      <c r="AK24" s="172" t="n"/>
      <c r="AL24" s="687" t="n">
        <v>0</v>
      </c>
    </row>
    <row r="25">
      <c r="A25" s="655" t="inlineStr">
        <is>
          <t>Price Adjusted for Market Conditions</t>
        </is>
      </c>
      <c r="B25" s="670" t="n"/>
      <c r="C25" s="671" t="n"/>
      <c r="D25" s="653" t="n"/>
      <c r="E25" s="673">
        <f>ROUND((E22*E24)+E22,2)</f>
        <v/>
      </c>
      <c r="F25" s="653" t="n"/>
      <c r="G25" s="673">
        <f>ROUND((G22*G24)+G22,2)</f>
        <v/>
      </c>
      <c r="H25" s="653" t="n"/>
      <c r="I25" s="673">
        <f>ROUND((I22*I24)+I22,2)</f>
        <v/>
      </c>
      <c r="J25" s="653" t="n"/>
      <c r="K25" s="673">
        <f>ROUND((K22*K24)+K22,2)</f>
        <v/>
      </c>
      <c r="L25" s="653" t="n"/>
      <c r="M25" s="673">
        <f>ROUND((M22*M24)+M22,2)</f>
        <v/>
      </c>
      <c r="N25" s="653" t="n"/>
      <c r="O25" s="673">
        <f>ROUND((O22*O24)+O22,2)</f>
        <v/>
      </c>
      <c r="P25" s="653" t="n"/>
      <c r="Q25" s="673">
        <f>ROUND((Q22*Q24)+Q22,2)</f>
        <v/>
      </c>
      <c r="R25" s="697">
        <f>AVERAGE(E25:Q25)</f>
        <v/>
      </c>
      <c r="S25" s="653" t="n"/>
      <c r="T25" s="673">
        <f>ROUND((T22*T24)+T22,2)</f>
        <v/>
      </c>
      <c r="U25" s="653" t="n"/>
      <c r="V25" s="673">
        <f>ROUND((V22*V24)+V22,2)</f>
        <v/>
      </c>
      <c r="W25" s="694" t="n"/>
      <c r="X25" s="673">
        <f>ROUND((X22*X24)+X22,2)</f>
        <v/>
      </c>
      <c r="Y25" s="653" t="n"/>
      <c r="Z25" s="673">
        <f>ROUND((Z22*Z24)+Z22,2)</f>
        <v/>
      </c>
      <c r="AA25" s="653" t="n"/>
      <c r="AB25" s="673">
        <f>ROUND((AB22*AB24)+AB22,2)</f>
        <v/>
      </c>
      <c r="AE25" s="653" t="n"/>
      <c r="AF25" s="673">
        <f>ROUND((AF22*AF24)+AF22,2)</f>
        <v/>
      </c>
      <c r="AG25" s="653" t="n"/>
      <c r="AH25" s="673">
        <f>ROUND((AH22*AH24)+AH22,2)</f>
        <v/>
      </c>
      <c r="AI25" s="653" t="n"/>
      <c r="AJ25" s="673">
        <f>ROUND((AJ22*AJ24)+AJ22,2)</f>
        <v/>
      </c>
      <c r="AK25" s="653" t="n"/>
      <c r="AL25" s="673">
        <f>ROUND((AL22*AL24)+AL22,2)</f>
        <v/>
      </c>
    </row>
    <row r="26">
      <c r="A26" s="655" t="n"/>
      <c r="B26" s="670" t="n"/>
      <c r="C26" s="671" t="n"/>
      <c r="D26" s="653" t="n"/>
      <c r="E26" s="673" t="n"/>
      <c r="F26" s="653" t="n"/>
      <c r="G26" s="673" t="n"/>
      <c r="H26" s="653" t="n"/>
      <c r="I26" s="673" t="n"/>
      <c r="J26" s="653" t="n"/>
      <c r="K26" s="673" t="n"/>
      <c r="L26" s="653" t="n"/>
      <c r="M26" s="673" t="n"/>
      <c r="N26" s="653" t="n"/>
      <c r="O26" s="673" t="n"/>
      <c r="P26" s="653" t="n"/>
      <c r="Q26" s="673" t="n"/>
      <c r="R26" s="674" t="n"/>
      <c r="S26" s="653" t="n"/>
      <c r="T26" s="673" t="n"/>
      <c r="U26" s="653" t="n"/>
      <c r="V26" s="673" t="n"/>
      <c r="W26" s="694" t="n"/>
      <c r="X26" s="673" t="n"/>
      <c r="Y26" s="653" t="n"/>
      <c r="Z26" s="673" t="n"/>
      <c r="AA26" s="653" t="n"/>
      <c r="AB26" s="673" t="n"/>
      <c r="AE26" s="653" t="n"/>
      <c r="AF26" s="673" t="n"/>
      <c r="AG26" s="653" t="n"/>
      <c r="AH26" s="673" t="n"/>
      <c r="AI26" s="653" t="n"/>
      <c r="AJ26" s="673" t="n"/>
      <c r="AK26" s="653" t="n"/>
      <c r="AL26" s="673" t="n"/>
    </row>
    <row r="27">
      <c r="A27" s="655" t="inlineStr">
        <is>
          <t>Price/Land Adjusted for Market Conditions</t>
        </is>
      </c>
      <c r="B27" s="670" t="n"/>
      <c r="C27" s="671" t="n"/>
      <c r="D27" s="653" t="n"/>
      <c r="E27" s="673">
        <f>ROUND((E13*E24)+E13,2)</f>
        <v/>
      </c>
      <c r="F27" s="653" t="n"/>
      <c r="G27" s="673">
        <f>ROUND((G13*G24)+G13,2)</f>
        <v/>
      </c>
      <c r="H27" s="653" t="n"/>
      <c r="I27" s="673">
        <f>ROUND((I13*I24)+I13,2)</f>
        <v/>
      </c>
      <c r="J27" s="653" t="n"/>
      <c r="K27" s="673">
        <f>ROUND((K13*K24)+K13,2)</f>
        <v/>
      </c>
      <c r="L27" s="653" t="n"/>
      <c r="M27" s="673">
        <f>ROUND((M13*M24)+M13,2)</f>
        <v/>
      </c>
      <c r="N27" s="653" t="n"/>
      <c r="O27" s="673">
        <f>ROUND((O13*O24)+O13,2)</f>
        <v/>
      </c>
      <c r="P27" s="653" t="n"/>
      <c r="Q27" s="673">
        <f>ROUND((Q13*Q24)+Q13,2)</f>
        <v/>
      </c>
      <c r="R27" s="674" t="n"/>
      <c r="S27" s="653" t="n"/>
      <c r="T27" s="673">
        <f>ROUND((T13*T24)+T13,2)</f>
        <v/>
      </c>
      <c r="U27" s="653" t="n"/>
      <c r="V27" s="673">
        <f>ROUND((V13*V24)+V13,2)</f>
        <v/>
      </c>
      <c r="W27" s="653" t="n"/>
      <c r="X27" s="673">
        <f>ROUND((X13*X24)+X13,2)</f>
        <v/>
      </c>
      <c r="Y27" s="653" t="n"/>
      <c r="Z27" s="673">
        <f>ROUND((Z13*Z24)+Z13,2)</f>
        <v/>
      </c>
      <c r="AA27" s="653" t="n"/>
      <c r="AB27" s="673">
        <f>ROUND((AB13*AB24)+AB13,2)</f>
        <v/>
      </c>
      <c r="AE27" s="653" t="n"/>
      <c r="AF27" s="673">
        <f>ROUND((AF13*AF24)+AF13,2)</f>
        <v/>
      </c>
      <c r="AG27" s="653" t="n"/>
      <c r="AH27" s="673">
        <f>ROUND((AH13*AH24)+AH13,2)</f>
        <v/>
      </c>
      <c r="AI27" s="653" t="n"/>
      <c r="AJ27" s="673">
        <f>ROUND((AJ13*AJ24)+AJ13,2)</f>
        <v/>
      </c>
      <c r="AK27" s="653" t="n"/>
      <c r="AL27" s="673">
        <f>ROUND((AL13*AL24)+AL13,2)</f>
        <v/>
      </c>
    </row>
    <row r="28">
      <c r="A28" s="655" t="inlineStr">
        <is>
          <t xml:space="preserve"> </t>
        </is>
      </c>
      <c r="B28" s="653" t="n"/>
      <c r="C28" s="655" t="n"/>
      <c r="D28" s="653" t="n"/>
      <c r="E28" s="691" t="n"/>
      <c r="F28" s="653" t="n"/>
      <c r="G28" s="691" t="n"/>
      <c r="H28" s="653" t="n"/>
      <c r="I28" s="691" t="n"/>
      <c r="J28" s="653" t="n"/>
      <c r="K28" s="691" t="n"/>
      <c r="L28" s="653" t="n"/>
      <c r="M28" s="673" t="n"/>
      <c r="N28" s="653" t="n"/>
      <c r="O28" s="691" t="n"/>
      <c r="P28" s="653" t="n"/>
      <c r="Q28" s="691" t="n"/>
      <c r="R28" s="692" t="n"/>
      <c r="S28" s="653" t="n"/>
      <c r="T28" s="691" t="n"/>
      <c r="U28" s="653" t="n"/>
      <c r="V28" s="691" t="n"/>
      <c r="W28" s="694" t="n"/>
      <c r="X28" s="691" t="n"/>
      <c r="Y28" s="653" t="n"/>
      <c r="Z28" s="691" t="n"/>
      <c r="AA28" s="653" t="n"/>
      <c r="AB28" s="691" t="n"/>
      <c r="AE28" s="653" t="n"/>
      <c r="AF28" s="691" t="n"/>
      <c r="AG28" s="653" t="n"/>
      <c r="AH28" s="691" t="n"/>
      <c r="AI28" s="653" t="n"/>
      <c r="AJ28" s="691" t="n"/>
      <c r="AK28" s="653" t="n"/>
      <c r="AL28" s="691" t="n"/>
    </row>
    <row r="29">
      <c r="A29" s="655" t="inlineStr">
        <is>
          <t>Other Adjustments</t>
        </is>
      </c>
      <c r="B29" s="653" t="n"/>
      <c r="C29" s="655" t="n"/>
      <c r="D29" s="698" t="n"/>
      <c r="E29" s="662" t="n"/>
      <c r="F29" s="698" t="n"/>
      <c r="G29" s="662" t="n"/>
      <c r="H29" s="698" t="n"/>
      <c r="I29" s="662" t="n"/>
      <c r="J29" s="698" t="n"/>
      <c r="K29" s="662" t="n"/>
      <c r="L29" s="698" t="n"/>
      <c r="M29" s="662" t="n"/>
      <c r="N29" s="698" t="n"/>
      <c r="O29" s="662" t="n"/>
      <c r="P29" s="698" t="n"/>
      <c r="Q29" s="662" t="n"/>
      <c r="R29" s="663" t="n"/>
      <c r="S29" s="698" t="n"/>
      <c r="T29" s="662" t="n"/>
      <c r="U29" s="698" t="n"/>
      <c r="V29" s="662" t="n"/>
      <c r="W29" s="699" t="n"/>
      <c r="X29" s="662" t="n"/>
      <c r="Y29" s="698" t="n"/>
      <c r="Z29" s="662" t="n"/>
      <c r="AA29" s="698" t="n"/>
      <c r="AB29" s="662" t="n"/>
      <c r="AE29" s="698" t="n"/>
      <c r="AF29" s="662" t="n"/>
      <c r="AG29" s="698" t="n"/>
      <c r="AH29" s="662" t="n"/>
      <c r="AI29" s="698" t="n"/>
      <c r="AJ29" s="662" t="n"/>
      <c r="AK29" s="698" t="n"/>
      <c r="AL29" s="662" t="n"/>
    </row>
    <row r="30">
      <c r="A30" s="185" t="inlineStr">
        <is>
          <t xml:space="preserve">      Building size</t>
        </is>
      </c>
      <c r="B30" s="700" t="inlineStr">
        <is>
          <t>AUTO:buildingSF</t>
        </is>
      </c>
      <c r="C30" s="655" t="n"/>
      <c r="D30" s="701" t="inlineStr">
        <is>
          <t>Similar</t>
        </is>
      </c>
      <c r="E30" s="702" t="n">
        <v>0</v>
      </c>
      <c r="F30" s="701" t="inlineStr">
        <is>
          <t>Similar</t>
        </is>
      </c>
      <c r="G30" s="702" t="n">
        <v>0</v>
      </c>
      <c r="H30" s="701" t="inlineStr">
        <is>
          <t>Similar</t>
        </is>
      </c>
      <c r="I30" s="702" t="n">
        <v>0</v>
      </c>
      <c r="J30" s="701" t="inlineStr">
        <is>
          <t>Similar</t>
        </is>
      </c>
      <c r="K30" s="702" t="n">
        <v>0</v>
      </c>
      <c r="L30" s="701" t="inlineStr">
        <is>
          <t>Similar</t>
        </is>
      </c>
      <c r="M30" s="702" t="n">
        <v>0</v>
      </c>
      <c r="N30" s="701" t="inlineStr">
        <is>
          <t>Similar</t>
        </is>
      </c>
      <c r="O30" s="702" t="n">
        <v>0</v>
      </c>
      <c r="P30" s="701" t="inlineStr">
        <is>
          <t>Similar</t>
        </is>
      </c>
      <c r="Q30" s="702" t="n">
        <v>0</v>
      </c>
      <c r="R30" s="703" t="n"/>
      <c r="S30" s="701" t="inlineStr">
        <is>
          <t>Similar</t>
        </is>
      </c>
      <c r="T30" s="702" t="n">
        <v>0</v>
      </c>
      <c r="U30" s="701" t="inlineStr">
        <is>
          <t>Similar</t>
        </is>
      </c>
      <c r="V30" s="702" t="n">
        <v>0</v>
      </c>
      <c r="W30" s="701" t="inlineStr">
        <is>
          <t>Similar</t>
        </is>
      </c>
      <c r="X30" s="702" t="n">
        <v>0</v>
      </c>
      <c r="Y30" s="701" t="inlineStr">
        <is>
          <t>Similar</t>
        </is>
      </c>
      <c r="Z30" s="702" t="n">
        <v>0</v>
      </c>
      <c r="AA30" s="701" t="inlineStr">
        <is>
          <t>Similar</t>
        </is>
      </c>
      <c r="AB30" s="702" t="n">
        <v>0</v>
      </c>
      <c r="AE30" s="701" t="inlineStr">
        <is>
          <t>Similar</t>
        </is>
      </c>
      <c r="AF30" s="702" t="n">
        <v>0</v>
      </c>
      <c r="AG30" s="686" t="inlineStr">
        <is>
          <t>Similar</t>
        </is>
      </c>
      <c r="AH30" s="702" t="n">
        <v>0</v>
      </c>
      <c r="AI30" s="686" t="inlineStr">
        <is>
          <t>Similar</t>
        </is>
      </c>
      <c r="AJ30" s="702" t="n">
        <v>0</v>
      </c>
      <c r="AK30" s="686" t="inlineStr">
        <is>
          <t>Similar</t>
        </is>
      </c>
      <c r="AL30" s="702" t="n">
        <v>0</v>
      </c>
    </row>
    <row r="31">
      <c r="A31" s="655" t="inlineStr">
        <is>
          <t xml:space="preserve">      Location</t>
        </is>
      </c>
      <c r="B31" s="704" t="n"/>
      <c r="C31" s="660" t="n"/>
      <c r="D31" s="686" t="inlineStr">
        <is>
          <t>Similar</t>
        </is>
      </c>
      <c r="E31" s="702" t="n">
        <v>0</v>
      </c>
      <c r="F31" s="686" t="inlineStr">
        <is>
          <t>Similar</t>
        </is>
      </c>
      <c r="G31" s="702" t="n">
        <v>0</v>
      </c>
      <c r="H31" s="686" t="inlineStr">
        <is>
          <t>Similar</t>
        </is>
      </c>
      <c r="I31" s="702" t="n">
        <v>0</v>
      </c>
      <c r="J31" s="686" t="inlineStr">
        <is>
          <t>Similar</t>
        </is>
      </c>
      <c r="K31" s="702" t="n">
        <v>0</v>
      </c>
      <c r="L31" s="686" t="inlineStr">
        <is>
          <t>Similar</t>
        </is>
      </c>
      <c r="M31" s="702" t="n">
        <v>0</v>
      </c>
      <c r="N31" s="686" t="inlineStr">
        <is>
          <t>Similar</t>
        </is>
      </c>
      <c r="O31" s="702" t="n">
        <v>0</v>
      </c>
      <c r="P31" s="686" t="inlineStr">
        <is>
          <t>Similar</t>
        </is>
      </c>
      <c r="Q31" s="702" t="n">
        <v>0</v>
      </c>
      <c r="R31" s="703" t="n"/>
      <c r="S31" s="686" t="inlineStr">
        <is>
          <t>Similar</t>
        </is>
      </c>
      <c r="T31" s="702" t="n">
        <v>0</v>
      </c>
      <c r="U31" s="686" t="inlineStr">
        <is>
          <t>Similar</t>
        </is>
      </c>
      <c r="V31" s="702" t="n">
        <v>0</v>
      </c>
      <c r="W31" s="689" t="inlineStr">
        <is>
          <t>Similar</t>
        </is>
      </c>
      <c r="X31" s="702" t="n">
        <v>0</v>
      </c>
      <c r="Y31" s="686" t="inlineStr">
        <is>
          <t>Similar</t>
        </is>
      </c>
      <c r="Z31" s="702" t="n">
        <v>0</v>
      </c>
      <c r="AA31" s="686" t="inlineStr">
        <is>
          <t>Similar</t>
        </is>
      </c>
      <c r="AB31" s="702" t="n">
        <v>0</v>
      </c>
      <c r="AE31" s="686" t="inlineStr">
        <is>
          <t>Similar</t>
        </is>
      </c>
      <c r="AF31" s="702" t="n">
        <v>0</v>
      </c>
      <c r="AG31" s="686" t="inlineStr">
        <is>
          <t>Similar</t>
        </is>
      </c>
      <c r="AH31" s="702" t="n">
        <v>0</v>
      </c>
      <c r="AI31" s="686" t="inlineStr">
        <is>
          <t>Similar</t>
        </is>
      </c>
      <c r="AJ31" s="702" t="n">
        <v>0</v>
      </c>
      <c r="AK31" s="686" t="inlineStr">
        <is>
          <t>Similar</t>
        </is>
      </c>
      <c r="AL31" s="702" t="n">
        <v>0</v>
      </c>
    </row>
    <row r="32">
      <c r="A32" s="655" t="inlineStr">
        <is>
          <t xml:space="preserve">      Zoning</t>
        </is>
      </c>
      <c r="B32" s="686" t="inlineStr">
        <is>
          <t>AUTO:zoning</t>
        </is>
      </c>
      <c r="C32" s="655" t="n"/>
      <c r="D32" s="686" t="inlineStr">
        <is>
          <t>Similar</t>
        </is>
      </c>
      <c r="E32" s="702" t="n">
        <v>0</v>
      </c>
      <c r="F32" s="686" t="inlineStr">
        <is>
          <t>Similar</t>
        </is>
      </c>
      <c r="G32" s="702" t="n">
        <v>0</v>
      </c>
      <c r="H32" s="686" t="inlineStr">
        <is>
          <t>Similar</t>
        </is>
      </c>
      <c r="I32" s="702" t="n">
        <v>0</v>
      </c>
      <c r="J32" s="686" t="inlineStr">
        <is>
          <t>Similar</t>
        </is>
      </c>
      <c r="K32" s="702" t="n">
        <v>0</v>
      </c>
      <c r="L32" s="686" t="inlineStr">
        <is>
          <t>Similar</t>
        </is>
      </c>
      <c r="M32" s="702" t="n">
        <v>0</v>
      </c>
      <c r="N32" s="686" t="inlineStr">
        <is>
          <t>Similar</t>
        </is>
      </c>
      <c r="O32" s="702" t="n">
        <v>0</v>
      </c>
      <c r="P32" s="686" t="inlineStr">
        <is>
          <t>Similar</t>
        </is>
      </c>
      <c r="Q32" s="702" t="n">
        <v>0</v>
      </c>
      <c r="R32" s="703" t="n"/>
      <c r="S32" s="686" t="inlineStr">
        <is>
          <t>Similar</t>
        </is>
      </c>
      <c r="T32" s="702" t="n">
        <v>0</v>
      </c>
      <c r="U32" s="686" t="inlineStr">
        <is>
          <t>Similar</t>
        </is>
      </c>
      <c r="V32" s="702" t="n">
        <v>0</v>
      </c>
      <c r="W32" s="689" t="inlineStr">
        <is>
          <t>Similar</t>
        </is>
      </c>
      <c r="X32" s="702" t="n">
        <v>0</v>
      </c>
      <c r="Y32" s="686" t="inlineStr">
        <is>
          <t>Similar</t>
        </is>
      </c>
      <c r="Z32" s="702" t="n">
        <v>0</v>
      </c>
      <c r="AA32" s="686" t="inlineStr">
        <is>
          <t>Similar</t>
        </is>
      </c>
      <c r="AB32" s="702" t="n">
        <v>0</v>
      </c>
      <c r="AE32" s="686" t="inlineStr">
        <is>
          <t>Similar</t>
        </is>
      </c>
      <c r="AF32" s="702" t="n">
        <v>0</v>
      </c>
      <c r="AG32" s="686" t="inlineStr">
        <is>
          <t>Similar</t>
        </is>
      </c>
      <c r="AH32" s="702" t="n">
        <v>0</v>
      </c>
      <c r="AI32" s="686" t="inlineStr">
        <is>
          <t>Similar</t>
        </is>
      </c>
      <c r="AJ32" s="702" t="n">
        <v>0</v>
      </c>
      <c r="AK32" s="686" t="inlineStr">
        <is>
          <t>Similar</t>
        </is>
      </c>
      <c r="AL32" s="702" t="n">
        <v>0</v>
      </c>
    </row>
    <row r="33">
      <c r="A33" s="655" t="inlineStr">
        <is>
          <t xml:space="preserve">      Age/Quality/Condition</t>
        </is>
      </c>
      <c r="B33" s="686" t="n"/>
      <c r="C33" s="655" t="n"/>
      <c r="D33" s="686" t="inlineStr">
        <is>
          <t>Similar</t>
        </is>
      </c>
      <c r="E33" s="702" t="n">
        <v>0</v>
      </c>
      <c r="F33" s="686" t="inlineStr">
        <is>
          <t>Similar</t>
        </is>
      </c>
      <c r="G33" s="702" t="n">
        <v>0</v>
      </c>
      <c r="H33" s="686" t="inlineStr">
        <is>
          <t>Similar</t>
        </is>
      </c>
      <c r="I33" s="702" t="n">
        <v>0</v>
      </c>
      <c r="J33" s="686" t="inlineStr">
        <is>
          <t>Similar</t>
        </is>
      </c>
      <c r="K33" s="702" t="n">
        <v>0</v>
      </c>
      <c r="L33" s="686" t="inlineStr">
        <is>
          <t>Similar</t>
        </is>
      </c>
      <c r="M33" s="702" t="n">
        <v>0</v>
      </c>
      <c r="N33" s="686" t="inlineStr">
        <is>
          <t>Similar</t>
        </is>
      </c>
      <c r="O33" s="702" t="n">
        <v>0</v>
      </c>
      <c r="P33" s="686" t="inlineStr">
        <is>
          <t>Similar</t>
        </is>
      </c>
      <c r="Q33" s="702" t="n">
        <v>0</v>
      </c>
      <c r="R33" s="703" t="n"/>
      <c r="S33" s="686" t="inlineStr">
        <is>
          <t>Similar</t>
        </is>
      </c>
      <c r="T33" s="702" t="n">
        <v>0</v>
      </c>
      <c r="U33" s="686" t="inlineStr">
        <is>
          <t>Similar</t>
        </is>
      </c>
      <c r="V33" s="702" t="n">
        <v>0</v>
      </c>
      <c r="W33" s="689" t="inlineStr">
        <is>
          <t>Similar</t>
        </is>
      </c>
      <c r="X33" s="702" t="n">
        <v>0</v>
      </c>
      <c r="Y33" s="686" t="inlineStr">
        <is>
          <t>Similar</t>
        </is>
      </c>
      <c r="Z33" s="702" t="n">
        <v>0</v>
      </c>
      <c r="AA33" s="686" t="inlineStr">
        <is>
          <t>Similar</t>
        </is>
      </c>
      <c r="AB33" s="702" t="n">
        <v>0</v>
      </c>
      <c r="AE33" s="686" t="inlineStr">
        <is>
          <t>Similar</t>
        </is>
      </c>
      <c r="AF33" s="702" t="n">
        <v>0</v>
      </c>
      <c r="AG33" s="686" t="inlineStr">
        <is>
          <t>Similar</t>
        </is>
      </c>
      <c r="AH33" s="702" t="n">
        <v>0</v>
      </c>
      <c r="AI33" s="686" t="inlineStr">
        <is>
          <t>Similar</t>
        </is>
      </c>
      <c r="AJ33" s="702" t="n">
        <v>0</v>
      </c>
      <c r="AK33" s="686" t="inlineStr">
        <is>
          <t>Similar</t>
        </is>
      </c>
      <c r="AL33" s="702" t="n">
        <v>0</v>
      </c>
    </row>
    <row r="34">
      <c r="A34" s="655" t="inlineStr">
        <is>
          <t xml:space="preserve">      Tenancy/Other</t>
        </is>
      </c>
      <c r="B34" s="686" t="n"/>
      <c r="C34" s="655" t="n"/>
      <c r="D34" s="686" t="inlineStr">
        <is>
          <t>Similar</t>
        </is>
      </c>
      <c r="E34" s="702" t="n">
        <v>0</v>
      </c>
      <c r="F34" s="686" t="inlineStr">
        <is>
          <t>Similar</t>
        </is>
      </c>
      <c r="G34" s="702" t="n">
        <v>0</v>
      </c>
      <c r="H34" s="686" t="inlineStr">
        <is>
          <t>Similar</t>
        </is>
      </c>
      <c r="I34" s="702" t="n">
        <v>0</v>
      </c>
      <c r="J34" s="686" t="inlineStr">
        <is>
          <t>Similar</t>
        </is>
      </c>
      <c r="K34" s="702" t="n">
        <v>0</v>
      </c>
      <c r="L34" s="686" t="inlineStr">
        <is>
          <t>Similar</t>
        </is>
      </c>
      <c r="M34" s="702" t="n">
        <v>0</v>
      </c>
      <c r="N34" s="686" t="inlineStr">
        <is>
          <t>Similar</t>
        </is>
      </c>
      <c r="O34" s="702" t="n">
        <v>0</v>
      </c>
      <c r="P34" s="686" t="inlineStr">
        <is>
          <t>Similar</t>
        </is>
      </c>
      <c r="Q34" s="702" t="n">
        <v>0</v>
      </c>
      <c r="R34" s="703" t="n"/>
      <c r="S34" s="686" t="inlineStr">
        <is>
          <t>Similar</t>
        </is>
      </c>
      <c r="T34" s="702" t="n">
        <v>0</v>
      </c>
      <c r="U34" s="686" t="inlineStr">
        <is>
          <t>Similar</t>
        </is>
      </c>
      <c r="V34" s="702" t="n">
        <v>0</v>
      </c>
      <c r="W34" s="689" t="inlineStr">
        <is>
          <t>Similar</t>
        </is>
      </c>
      <c r="X34" s="702" t="n">
        <v>0</v>
      </c>
      <c r="Y34" s="686" t="inlineStr">
        <is>
          <t>Similar</t>
        </is>
      </c>
      <c r="Z34" s="702" t="n">
        <v>0</v>
      </c>
      <c r="AA34" s="686" t="inlineStr">
        <is>
          <t>Similar</t>
        </is>
      </c>
      <c r="AB34" s="702" t="n">
        <v>0</v>
      </c>
      <c r="AE34" s="686" t="inlineStr">
        <is>
          <t>Similar</t>
        </is>
      </c>
      <c r="AF34" s="702" t="n">
        <v>0</v>
      </c>
      <c r="AG34" s="686" t="inlineStr">
        <is>
          <t>Similar</t>
        </is>
      </c>
      <c r="AH34" s="702" t="n">
        <v>0</v>
      </c>
      <c r="AI34" s="686" t="inlineStr">
        <is>
          <t>Similar</t>
        </is>
      </c>
      <c r="AJ34" s="702" t="n">
        <v>0</v>
      </c>
      <c r="AK34" s="686" t="inlineStr">
        <is>
          <t>Similar</t>
        </is>
      </c>
      <c r="AL34" s="702" t="n">
        <v>0</v>
      </c>
    </row>
    <row r="35">
      <c r="A35" s="655" t="inlineStr">
        <is>
          <t xml:space="preserve">      Flood Zone</t>
        </is>
      </c>
      <c r="B35" s="686" t="inlineStr">
        <is>
          <t>AUTO:floodZone</t>
        </is>
      </c>
      <c r="C35" s="655" t="n"/>
      <c r="D35" s="686" t="inlineStr">
        <is>
          <t>Similar</t>
        </is>
      </c>
      <c r="E35" s="702" t="n">
        <v>0</v>
      </c>
      <c r="F35" s="686" t="inlineStr">
        <is>
          <t>Similar</t>
        </is>
      </c>
      <c r="G35" s="702" t="n">
        <v>0</v>
      </c>
      <c r="H35" s="686" t="inlineStr">
        <is>
          <t>Similar</t>
        </is>
      </c>
      <c r="I35" s="702" t="n">
        <v>0</v>
      </c>
      <c r="J35" s="686" t="inlineStr">
        <is>
          <t>Similar</t>
        </is>
      </c>
      <c r="K35" s="702" t="n">
        <v>0</v>
      </c>
      <c r="L35" s="686" t="inlineStr">
        <is>
          <t>Similar</t>
        </is>
      </c>
      <c r="M35" s="702" t="n">
        <v>0</v>
      </c>
      <c r="N35" s="686" t="inlineStr">
        <is>
          <t>Similar</t>
        </is>
      </c>
      <c r="O35" s="702" t="n">
        <v>0</v>
      </c>
      <c r="P35" s="686" t="inlineStr">
        <is>
          <t>Similar</t>
        </is>
      </c>
      <c r="Q35" s="702" t="n">
        <v>0</v>
      </c>
      <c r="R35" s="703" t="n"/>
      <c r="S35" s="686" t="inlineStr">
        <is>
          <t>Similar</t>
        </is>
      </c>
      <c r="T35" s="702" t="n">
        <v>0</v>
      </c>
      <c r="U35" s="686" t="inlineStr">
        <is>
          <t>Similar</t>
        </is>
      </c>
      <c r="V35" s="702" t="n">
        <v>0</v>
      </c>
      <c r="W35" s="686" t="inlineStr">
        <is>
          <t>Similar</t>
        </is>
      </c>
      <c r="X35" s="702" t="n">
        <v>0</v>
      </c>
      <c r="Y35" s="686" t="inlineStr">
        <is>
          <t>Similar</t>
        </is>
      </c>
      <c r="Z35" s="702" t="n">
        <v>0</v>
      </c>
      <c r="AA35" s="686" t="inlineStr">
        <is>
          <t>Similar</t>
        </is>
      </c>
      <c r="AB35" s="702" t="n">
        <v>0</v>
      </c>
      <c r="AE35" s="686" t="inlineStr">
        <is>
          <t>Similar</t>
        </is>
      </c>
      <c r="AF35" s="702" t="n">
        <v>0</v>
      </c>
      <c r="AG35" s="686" t="inlineStr">
        <is>
          <t>Similar</t>
        </is>
      </c>
      <c r="AH35" s="702" t="n">
        <v>0</v>
      </c>
      <c r="AI35" s="686" t="inlineStr">
        <is>
          <t>Similar</t>
        </is>
      </c>
      <c r="AJ35" s="702" t="n">
        <v>0</v>
      </c>
      <c r="AK35" s="686" t="inlineStr">
        <is>
          <t>Similar</t>
        </is>
      </c>
      <c r="AL35" s="702" t="n">
        <v>0</v>
      </c>
    </row>
    <row r="36">
      <c r="A36" s="655" t="inlineStr">
        <is>
          <t xml:space="preserve">      Land Size (AC)</t>
        </is>
      </c>
      <c r="B36" s="675">
        <f>B11</f>
        <v/>
      </c>
      <c r="C36" s="705" t="n"/>
      <c r="D36" s="706">
        <f>E11</f>
        <v/>
      </c>
      <c r="E36" s="687" t="n">
        <v>0</v>
      </c>
      <c r="F36" s="706">
        <f>G11</f>
        <v/>
      </c>
      <c r="G36" s="687" t="n">
        <v>0</v>
      </c>
      <c r="H36" s="706">
        <f>I11</f>
        <v/>
      </c>
      <c r="I36" s="687" t="n">
        <v>0</v>
      </c>
      <c r="J36" s="706">
        <f>K11</f>
        <v/>
      </c>
      <c r="K36" s="687" t="n">
        <v>0</v>
      </c>
      <c r="L36" s="706">
        <f>M11</f>
        <v/>
      </c>
      <c r="M36" s="687" t="n">
        <v>0</v>
      </c>
      <c r="N36" s="706">
        <f>O11</f>
        <v/>
      </c>
      <c r="O36" s="687" t="n">
        <v>0</v>
      </c>
      <c r="P36" s="706">
        <f>Q11</f>
        <v/>
      </c>
      <c r="Q36" s="687" t="n">
        <v>0</v>
      </c>
      <c r="R36" s="688" t="n"/>
      <c r="S36" s="706">
        <f>T11</f>
        <v/>
      </c>
      <c r="T36" s="687" t="n">
        <v>0</v>
      </c>
      <c r="U36" s="706">
        <f>V11</f>
        <v/>
      </c>
      <c r="V36" s="687" t="n">
        <v>0</v>
      </c>
      <c r="W36" s="707">
        <f>X11</f>
        <v/>
      </c>
      <c r="X36" s="687" t="n">
        <v>0</v>
      </c>
      <c r="Y36" s="706">
        <f>Z11</f>
        <v/>
      </c>
      <c r="Z36" s="687" t="n">
        <v>-0.1</v>
      </c>
      <c r="AA36" s="706">
        <f>AB11</f>
        <v/>
      </c>
      <c r="AB36" s="687" t="n">
        <v>0</v>
      </c>
      <c r="AE36" s="706">
        <f>AF11</f>
        <v/>
      </c>
      <c r="AF36" s="687" t="n">
        <v>0</v>
      </c>
      <c r="AG36" s="706">
        <f>AH11</f>
        <v/>
      </c>
      <c r="AH36" s="687" t="n">
        <v>0</v>
      </c>
      <c r="AI36" s="706">
        <f>AJ11</f>
        <v/>
      </c>
      <c r="AJ36" s="687" t="n">
        <v>0</v>
      </c>
      <c r="AK36" s="706">
        <f>AL11</f>
        <v/>
      </c>
      <c r="AL36" s="687" t="n">
        <v>0</v>
      </c>
    </row>
    <row r="37">
      <c r="A37" s="655" t="inlineStr">
        <is>
          <t xml:space="preserve">      Total of Other Adjustments</t>
        </is>
      </c>
      <c r="B37" s="670" t="n"/>
      <c r="C37" s="671" t="n"/>
      <c r="D37" s="653" t="n"/>
      <c r="E37" s="702">
        <f>SUM(E30:E36)</f>
        <v/>
      </c>
      <c r="F37" s="653" t="n"/>
      <c r="G37" s="702">
        <f>SUM(G30:G36)</f>
        <v/>
      </c>
      <c r="H37" s="653" t="n"/>
      <c r="I37" s="702">
        <f>SUM(I30:I36)</f>
        <v/>
      </c>
      <c r="J37" s="653" t="n"/>
      <c r="K37" s="702">
        <f>SUM(K30:K36)</f>
        <v/>
      </c>
      <c r="L37" s="653" t="n"/>
      <c r="M37" s="702">
        <f>SUM(M30:M36)</f>
        <v/>
      </c>
      <c r="N37" s="653" t="n"/>
      <c r="O37" s="702">
        <f>SUM(O30:O36)</f>
        <v/>
      </c>
      <c r="P37" s="653" t="n"/>
      <c r="Q37" s="702">
        <f>SUM(Q30:Q36)</f>
        <v/>
      </c>
      <c r="R37" s="703" t="n"/>
      <c r="S37" s="653" t="n"/>
      <c r="T37" s="702">
        <f>SUM(T30:T36)</f>
        <v/>
      </c>
      <c r="U37" s="653" t="n"/>
      <c r="V37" s="702">
        <f>SUM(V30:V36)</f>
        <v/>
      </c>
      <c r="W37" s="694" t="n"/>
      <c r="X37" s="702">
        <f>SUM(X30:X36)</f>
        <v/>
      </c>
      <c r="Y37" s="653" t="n"/>
      <c r="Z37" s="702">
        <f>SUM(Z30:Z36)</f>
        <v/>
      </c>
      <c r="AA37" s="653" t="n"/>
      <c r="AB37" s="702">
        <f>SUM(AB30:AB36)</f>
        <v/>
      </c>
      <c r="AE37" s="653" t="n"/>
      <c r="AF37" s="702">
        <f>SUM(AF30:AF36)</f>
        <v/>
      </c>
      <c r="AG37" s="653" t="n"/>
      <c r="AH37" s="702">
        <f>SUM(AH30:AH36)</f>
        <v/>
      </c>
      <c r="AI37" s="653" t="n"/>
      <c r="AJ37" s="702">
        <f>SUM(AJ30:AJ36)</f>
        <v/>
      </c>
      <c r="AK37" s="653" t="n"/>
      <c r="AL37" s="702">
        <f>SUM(AL30:AL36)</f>
        <v/>
      </c>
    </row>
    <row r="38">
      <c r="A38" s="655" t="inlineStr">
        <is>
          <t xml:space="preserve"> </t>
        </is>
      </c>
      <c r="B38" s="670" t="n"/>
      <c r="C38" s="671" t="n"/>
      <c r="D38" s="708" t="n"/>
      <c r="E38" s="709" t="n"/>
      <c r="F38" s="708" t="n"/>
      <c r="G38" s="709" t="n"/>
      <c r="H38" s="708" t="n"/>
      <c r="I38" s="709" t="n"/>
      <c r="J38" s="708" t="n"/>
      <c r="K38" s="709" t="n"/>
      <c r="L38" s="708" t="n"/>
      <c r="M38" s="709" t="n"/>
      <c r="N38" s="708" t="n"/>
      <c r="O38" s="709" t="n"/>
      <c r="P38" s="708" t="n"/>
      <c r="Q38" s="709" t="n"/>
      <c r="R38" s="710" t="n"/>
      <c r="S38" s="708" t="n"/>
      <c r="T38" s="709" t="n"/>
      <c r="U38" s="708" t="n"/>
      <c r="V38" s="709" t="n"/>
      <c r="W38" s="711" t="n"/>
      <c r="X38" s="709" t="n"/>
      <c r="Y38" s="708" t="n"/>
      <c r="Z38" s="709" t="n"/>
      <c r="AA38" s="708" t="n"/>
      <c r="AB38" s="709" t="n"/>
      <c r="AE38" s="708" t="n"/>
      <c r="AF38" s="709" t="n"/>
      <c r="AG38" s="708" t="n"/>
      <c r="AH38" s="709" t="n"/>
      <c r="AI38" s="708" t="n"/>
      <c r="AJ38" s="709" t="n"/>
      <c r="AK38" s="708" t="n"/>
      <c r="AL38" s="709" t="n"/>
    </row>
    <row r="39">
      <c r="A39" s="655" t="inlineStr">
        <is>
          <t>Final Adjusted Sale Price/SF of Bldg.</t>
        </is>
      </c>
      <c r="B39" s="670" t="n"/>
      <c r="C39" s="671" t="n"/>
      <c r="D39" s="653" t="n"/>
      <c r="E39" s="673">
        <f>ROUND((E25*E37)+E25,2)</f>
        <v/>
      </c>
      <c r="F39" s="653" t="n"/>
      <c r="G39" s="673">
        <f>ROUND((G25*G37)+G25,2)</f>
        <v/>
      </c>
      <c r="H39" s="653" t="n"/>
      <c r="I39" s="673">
        <f>ROUND((I25*I37)+I25,2)</f>
        <v/>
      </c>
      <c r="J39" s="653" t="n"/>
      <c r="K39" s="673">
        <f>ROUND((K25*K37)+K25,2)</f>
        <v/>
      </c>
      <c r="L39" s="653" t="n"/>
      <c r="M39" s="673">
        <f>ROUND((M25*M37)+M25,2)</f>
        <v/>
      </c>
      <c r="N39" s="653" t="n"/>
      <c r="O39" s="673">
        <f>ROUND((O25*O37)+O25,2)</f>
        <v/>
      </c>
      <c r="P39" s="653" t="n"/>
      <c r="Q39" s="673">
        <f>ROUND((Q25*Q37)+Q25,2)</f>
        <v/>
      </c>
      <c r="R39" s="697">
        <f>AVERAGE(E39:Q39)</f>
        <v/>
      </c>
      <c r="S39" s="653" t="n"/>
      <c r="T39" s="673">
        <f>ROUND((T25*T37)+T25,2)</f>
        <v/>
      </c>
      <c r="U39" s="653" t="n"/>
      <c r="V39" s="673">
        <f>ROUND((V25*V37)+V25,2)</f>
        <v/>
      </c>
      <c r="W39" s="694" t="n"/>
      <c r="X39" s="673">
        <f>ROUND((X25*X37)+X25,2)</f>
        <v/>
      </c>
      <c r="Y39" s="653" t="n"/>
      <c r="Z39" s="673">
        <f>ROUND((Z25*Z37)+Z25,2)</f>
        <v/>
      </c>
      <c r="AA39" s="653" t="n"/>
      <c r="AB39" s="673">
        <f>ROUND((AB25*AB37)+AB25,2)</f>
        <v/>
      </c>
      <c r="AE39" s="653" t="n"/>
      <c r="AF39" s="673">
        <f>ROUND((AF25*AF37)+AF25,2)</f>
        <v/>
      </c>
      <c r="AG39" s="653" t="n"/>
      <c r="AH39" s="673">
        <f>ROUND((AH25*AH37)+AH25,2)</f>
        <v/>
      </c>
      <c r="AI39" s="653" t="n"/>
      <c r="AJ39" s="673">
        <f>ROUND((AJ25*AJ37)+AJ25,2)</f>
        <v/>
      </c>
      <c r="AK39" s="653" t="n"/>
      <c r="AL39" s="673">
        <f>ROUND((AL25*AL37)+AL25,2)</f>
        <v/>
      </c>
    </row>
    <row r="40">
      <c r="A40" s="655" t="n"/>
      <c r="B40" s="670" t="n"/>
      <c r="C40" s="671" t="n"/>
      <c r="D40" s="653" t="n"/>
      <c r="E40" s="673" t="n"/>
      <c r="F40" s="653" t="n"/>
      <c r="G40" s="673" t="n"/>
      <c r="H40" s="653" t="n"/>
      <c r="I40" s="673" t="n"/>
      <c r="J40" s="653" t="n"/>
      <c r="K40" s="673" t="n"/>
      <c r="L40" s="653" t="n"/>
      <c r="M40" s="673" t="n"/>
      <c r="N40" s="653" t="n"/>
      <c r="O40" s="673" t="n"/>
      <c r="P40" s="653" t="n"/>
      <c r="Q40" s="673" t="n"/>
      <c r="R40" s="674" t="n"/>
      <c r="S40" s="653" t="n"/>
      <c r="T40" s="673" t="n"/>
      <c r="U40" s="653" t="n"/>
      <c r="V40" s="673" t="n"/>
      <c r="W40" s="694" t="n"/>
      <c r="X40" s="673" t="n"/>
      <c r="Y40" s="653" t="n"/>
      <c r="Z40" s="673" t="n"/>
      <c r="AA40" s="653" t="n"/>
      <c r="AB40" s="673" t="n"/>
      <c r="AE40" s="653" t="n"/>
      <c r="AF40" s="673" t="n"/>
      <c r="AG40" s="653" t="n"/>
      <c r="AH40" s="673" t="n"/>
      <c r="AI40" s="653" t="n"/>
      <c r="AJ40" s="673" t="n"/>
      <c r="AK40" s="653" t="n"/>
      <c r="AL40" s="673" t="n"/>
    </row>
    <row r="41">
      <c r="A41" s="655" t="inlineStr">
        <is>
          <t>Final Adjusted Sale Price/SF of Land</t>
        </is>
      </c>
      <c r="B41" s="670" t="n"/>
      <c r="C41" s="671" t="n"/>
      <c r="D41" s="653" t="n"/>
      <c r="E41" s="673">
        <f>ROUND((E27*E37)+E27,2)</f>
        <v/>
      </c>
      <c r="F41" s="653" t="n"/>
      <c r="G41" s="673">
        <f>ROUND((G27*G37)+G27,2)</f>
        <v/>
      </c>
      <c r="H41" s="653" t="n"/>
      <c r="I41" s="673">
        <f>ROUND((I27*I37)+I27,2)</f>
        <v/>
      </c>
      <c r="J41" s="653" t="n"/>
      <c r="K41" s="673">
        <f>ROUND((K27*K37)+K27,2)</f>
        <v/>
      </c>
      <c r="L41" s="697" t="n"/>
      <c r="M41" s="673">
        <f>ROUND((M27*M37)+M27,2)</f>
        <v/>
      </c>
      <c r="N41" s="653" t="n"/>
      <c r="O41" s="673">
        <f>ROUND((O27*O37)+O27,2)</f>
        <v/>
      </c>
      <c r="P41" s="653" t="n"/>
      <c r="Q41" s="673">
        <f>ROUND((Q27*Q37)+Q27,2)</f>
        <v/>
      </c>
      <c r="R41" s="674" t="n"/>
      <c r="S41" s="653" t="n"/>
      <c r="T41" s="673">
        <f>ROUND((T27*T37)+T27,2)</f>
        <v/>
      </c>
      <c r="U41" s="653" t="n"/>
      <c r="V41" s="673">
        <f>ROUND((V27*V37)+V27,2)</f>
        <v/>
      </c>
      <c r="W41" s="653" t="n"/>
      <c r="X41" s="673">
        <f>ROUND((X27*X37)+X27,2)</f>
        <v/>
      </c>
      <c r="Y41" s="653" t="n"/>
      <c r="Z41" s="673">
        <f>ROUND((Z27*Z37)+Z27,2)</f>
        <v/>
      </c>
      <c r="AA41" s="653" t="n"/>
      <c r="AB41" s="673">
        <f>ROUND((AB27*AB37)+AB27,2)</f>
        <v/>
      </c>
      <c r="AE41" s="653" t="n"/>
      <c r="AF41" s="673">
        <f>ROUND((AF27*AF37)+AF27,2)</f>
        <v/>
      </c>
      <c r="AG41" s="653" t="n"/>
      <c r="AH41" s="673">
        <f>ROUND((AH27*AH37)+AH27,2)</f>
        <v/>
      </c>
      <c r="AI41" s="653" t="n"/>
      <c r="AJ41" s="673">
        <f>ROUND((AJ27*AJ37)+AJ27,2)</f>
        <v/>
      </c>
      <c r="AK41" s="653" t="n"/>
      <c r="AL41" s="673">
        <f>ROUND((AL27*AL37)+AL27,2)</f>
        <v/>
      </c>
    </row>
    <row r="42">
      <c r="A42" s="697" t="inlineStr">
        <is>
          <t xml:space="preserve"> </t>
        </is>
      </c>
      <c r="B42" s="697" t="n"/>
      <c r="C42" s="697" t="n"/>
      <c r="D42" s="697" t="n"/>
      <c r="E42" s="697" t="n"/>
      <c r="F42" s="697" t="n"/>
      <c r="G42" s="697" t="n"/>
      <c r="H42" s="697" t="n"/>
      <c r="I42" s="697" t="n"/>
      <c r="J42" s="697" t="n"/>
      <c r="K42" s="697" t="n"/>
      <c r="L42" s="697" t="n"/>
      <c r="M42" s="674" t="n"/>
      <c r="N42" s="697" t="n"/>
      <c r="O42" s="697" t="n"/>
      <c r="P42" s="697" t="n"/>
      <c r="Q42" s="697" t="n"/>
      <c r="R42" s="697" t="n"/>
      <c r="S42" s="697" t="n"/>
      <c r="T42" s="697" t="n"/>
      <c r="U42" s="697" t="n"/>
      <c r="V42" s="697" t="n"/>
      <c r="W42" s="697" t="n"/>
      <c r="X42" s="697" t="n"/>
      <c r="Y42" s="697" t="n"/>
      <c r="Z42" s="697" t="n"/>
      <c r="AA42" s="697" t="n"/>
      <c r="AB42" s="697" t="n"/>
      <c r="AE42" s="697" t="n"/>
      <c r="AF42" s="697" t="n"/>
      <c r="AG42" s="697" t="n"/>
      <c r="AH42" s="697" t="n"/>
      <c r="AI42" s="697" t="n"/>
      <c r="AJ42" s="697" t="n"/>
      <c r="AK42" s="697" t="n"/>
      <c r="AL42" s="697" t="n"/>
    </row>
    <row r="43">
      <c r="A43" s="712" t="inlineStr">
        <is>
          <t>For Reconciliation Purposes</t>
        </is>
      </c>
      <c r="B43" s="712" t="n"/>
      <c r="C43" s="712" t="n"/>
      <c r="D43" s="712" t="n"/>
      <c r="E43" s="712" t="n"/>
      <c r="F43" s="712" t="n"/>
      <c r="G43" s="712" t="n"/>
      <c r="H43" s="712" t="n"/>
      <c r="I43" s="712" t="n"/>
      <c r="J43" s="712" t="n"/>
      <c r="K43" s="712" t="n"/>
      <c r="L43" s="712" t="n"/>
      <c r="M43" s="712" t="n"/>
      <c r="N43" s="712" t="n"/>
      <c r="O43" s="712" t="n"/>
      <c r="P43" s="712" t="n"/>
      <c r="Q43" s="712" t="n"/>
      <c r="R43" s="712" t="n"/>
      <c r="S43" s="712" t="n"/>
      <c r="T43" s="712" t="n"/>
      <c r="U43" s="712" t="n"/>
      <c r="V43" s="712" t="n"/>
      <c r="W43" s="712" t="n"/>
      <c r="X43" s="712" t="n"/>
      <c r="Y43" s="712" t="n"/>
      <c r="Z43" s="712" t="n"/>
      <c r="AA43" s="712" t="n"/>
      <c r="AB43" s="712" t="n"/>
      <c r="AE43" s="712" t="n"/>
      <c r="AF43" s="712" t="n"/>
      <c r="AG43" s="712" t="n"/>
      <c r="AH43" s="712" t="n"/>
      <c r="AI43" s="712" t="n"/>
      <c r="AJ43" s="712" t="n"/>
      <c r="AK43" s="712" t="n"/>
      <c r="AL43" s="712" t="n"/>
    </row>
    <row r="44">
      <c r="A44" s="712" t="inlineStr">
        <is>
          <t xml:space="preserve">        Total Adjustment ($/SF) </t>
        </is>
      </c>
      <c r="B44" s="712" t="n"/>
      <c r="C44" s="712" t="n"/>
      <c r="D44" s="713" t="inlineStr">
        <is>
          <t xml:space="preserve"> </t>
        </is>
      </c>
      <c r="E44" s="713">
        <f>ROUND(E39-E10,2)</f>
        <v/>
      </c>
      <c r="F44" s="713" t="inlineStr">
        <is>
          <t xml:space="preserve"> </t>
        </is>
      </c>
      <c r="G44" s="713">
        <f>ROUND(G39-G10,2)</f>
        <v/>
      </c>
      <c r="H44" s="713" t="inlineStr">
        <is>
          <t xml:space="preserve"> </t>
        </is>
      </c>
      <c r="I44" s="713">
        <f>ROUND(I39-I10,2)</f>
        <v/>
      </c>
      <c r="J44" s="713" t="inlineStr">
        <is>
          <t xml:space="preserve"> </t>
        </is>
      </c>
      <c r="K44" s="713">
        <f>ROUND(K39-K10,2)</f>
        <v/>
      </c>
      <c r="L44" s="713" t="inlineStr">
        <is>
          <t xml:space="preserve"> </t>
        </is>
      </c>
      <c r="M44" s="713">
        <f>ROUND(M39-M10,2)</f>
        <v/>
      </c>
      <c r="N44" s="713" t="inlineStr">
        <is>
          <t xml:space="preserve"> </t>
        </is>
      </c>
      <c r="O44" s="713">
        <f>ROUND(O39-O10,2)</f>
        <v/>
      </c>
      <c r="P44" s="713" t="inlineStr">
        <is>
          <t xml:space="preserve"> </t>
        </is>
      </c>
      <c r="Q44" s="713">
        <f>ROUND(Q39-Q10,2)</f>
        <v/>
      </c>
      <c r="R44" s="713" t="n"/>
      <c r="S44" s="713" t="inlineStr">
        <is>
          <t xml:space="preserve"> </t>
        </is>
      </c>
      <c r="T44" s="713">
        <f>ROUND(T39-T10,2)</f>
        <v/>
      </c>
      <c r="U44" s="713" t="inlineStr">
        <is>
          <t xml:space="preserve"> </t>
        </is>
      </c>
      <c r="V44" s="713">
        <f>ROUND(V39-V10,2)</f>
        <v/>
      </c>
      <c r="W44" s="713" t="inlineStr">
        <is>
          <t xml:space="preserve"> </t>
        </is>
      </c>
      <c r="X44" s="713">
        <f>ROUND(X39-X10,2)</f>
        <v/>
      </c>
      <c r="Y44" s="713" t="inlineStr">
        <is>
          <t xml:space="preserve"> </t>
        </is>
      </c>
      <c r="Z44" s="713">
        <f>ROUND(Z39-Z10,2)</f>
        <v/>
      </c>
      <c r="AA44" s="714" t="n"/>
      <c r="AB44" s="713">
        <f>ROUND(AB39-AB10,2)</f>
        <v/>
      </c>
      <c r="AE44" s="713" t="inlineStr">
        <is>
          <t xml:space="preserve"> </t>
        </is>
      </c>
      <c r="AF44" s="713">
        <f>ROUND(AF39-AF10,2)</f>
        <v/>
      </c>
      <c r="AG44" s="713" t="inlineStr">
        <is>
          <t xml:space="preserve"> </t>
        </is>
      </c>
      <c r="AH44" s="713">
        <f>ROUND(AH39-AH10,2)</f>
        <v/>
      </c>
      <c r="AI44" s="713" t="inlineStr">
        <is>
          <t xml:space="preserve"> </t>
        </is>
      </c>
      <c r="AJ44" s="713">
        <f>ROUND(AJ39-AJ10,2)</f>
        <v/>
      </c>
      <c r="AK44" s="713" t="inlineStr">
        <is>
          <t xml:space="preserve"> </t>
        </is>
      </c>
      <c r="AL44" s="713">
        <f>ROUND(AL39-AL10,2)</f>
        <v/>
      </c>
    </row>
    <row r="45">
      <c r="A45" s="712" t="inlineStr">
        <is>
          <t xml:space="preserve">        Total Adjustment (% of Price)</t>
        </is>
      </c>
      <c r="B45" s="712" t="n"/>
      <c r="C45" s="712" t="n"/>
      <c r="D45" s="715" t="inlineStr">
        <is>
          <t xml:space="preserve"> </t>
        </is>
      </c>
      <c r="E45" s="715">
        <f>ROUND((E39/E10)-1,3)</f>
        <v/>
      </c>
      <c r="F45" s="715" t="inlineStr">
        <is>
          <t xml:space="preserve"> </t>
        </is>
      </c>
      <c r="G45" s="715">
        <f>ROUND((G39/G10)-1,3)</f>
        <v/>
      </c>
      <c r="H45" s="715" t="inlineStr">
        <is>
          <t xml:space="preserve"> </t>
        </is>
      </c>
      <c r="I45" s="715">
        <f>ROUND((I39/I10)-1,3)</f>
        <v/>
      </c>
      <c r="J45" s="715" t="inlineStr">
        <is>
          <t xml:space="preserve"> </t>
        </is>
      </c>
      <c r="K45" s="715">
        <f>ROUND((K39/K10)-1,3)</f>
        <v/>
      </c>
      <c r="L45" s="715" t="inlineStr">
        <is>
          <t xml:space="preserve"> </t>
        </is>
      </c>
      <c r="M45" s="715">
        <f>ROUND((M39/M10)-1,3)</f>
        <v/>
      </c>
      <c r="N45" s="715" t="inlineStr">
        <is>
          <t xml:space="preserve"> </t>
        </is>
      </c>
      <c r="O45" s="715">
        <f>ROUND((O39/O10)-1,3)</f>
        <v/>
      </c>
      <c r="P45" s="715" t="inlineStr">
        <is>
          <t xml:space="preserve"> </t>
        </is>
      </c>
      <c r="Q45" s="715">
        <f>ROUND((Q39/Q10)-1,3)</f>
        <v/>
      </c>
      <c r="R45" s="715" t="n"/>
      <c r="S45" s="715" t="inlineStr">
        <is>
          <t xml:space="preserve"> </t>
        </is>
      </c>
      <c r="T45" s="715">
        <f>ROUND((T39/T10)-1,3)</f>
        <v/>
      </c>
      <c r="U45" s="715" t="inlineStr">
        <is>
          <t xml:space="preserve"> </t>
        </is>
      </c>
      <c r="V45" s="715">
        <f>ROUND((V39/V10)-1,3)</f>
        <v/>
      </c>
      <c r="W45" s="715" t="inlineStr">
        <is>
          <t xml:space="preserve"> </t>
        </is>
      </c>
      <c r="X45" s="715">
        <f>ROUND((X39/X10)-1,3)</f>
        <v/>
      </c>
      <c r="Y45" s="715" t="inlineStr">
        <is>
          <t xml:space="preserve"> </t>
        </is>
      </c>
      <c r="Z45" s="715">
        <f>ROUND((Z39/Z10)-1,3)</f>
        <v/>
      </c>
      <c r="AA45" s="716" t="n"/>
      <c r="AB45" s="715">
        <f>ROUND((AB39/AB10)-1,3)</f>
        <v/>
      </c>
      <c r="AE45" s="715" t="inlineStr">
        <is>
          <t xml:space="preserve"> </t>
        </is>
      </c>
      <c r="AF45" s="715">
        <f>ROUND((AF39/AF10)-1,3)</f>
        <v/>
      </c>
      <c r="AG45" s="715" t="inlineStr">
        <is>
          <t xml:space="preserve"> </t>
        </is>
      </c>
      <c r="AH45" s="715">
        <f>ROUND((AH39/AH10)-1,3)</f>
        <v/>
      </c>
      <c r="AI45" s="715" t="inlineStr">
        <is>
          <t xml:space="preserve"> </t>
        </is>
      </c>
      <c r="AJ45" s="715">
        <f>ROUND((AJ39/AJ10)-1,3)</f>
        <v/>
      </c>
      <c r="AK45" s="715" t="inlineStr">
        <is>
          <t xml:space="preserve"> </t>
        </is>
      </c>
      <c r="AL45" s="715">
        <f>ROUND((AL39/AL10)-1,3)</f>
        <v/>
      </c>
    </row>
    <row r="46">
      <c r="A46" s="697" t="inlineStr">
        <is>
          <t xml:space="preserve"> </t>
        </is>
      </c>
      <c r="B46" s="697" t="n"/>
      <c r="C46" s="697" t="n"/>
      <c r="H46" s="717" t="n"/>
      <c r="I46" s="717" t="n"/>
      <c r="J46" s="717" t="n"/>
      <c r="K46" s="717" t="n"/>
      <c r="N46" s="717" t="n"/>
      <c r="O46" s="717" t="n"/>
      <c r="S46" s="717" t="n"/>
      <c r="T46" s="717" t="n"/>
      <c r="U46" s="717" t="n"/>
      <c r="V46" s="717" t="n"/>
      <c r="W46" s="717" t="n"/>
      <c r="X46" s="717" t="n"/>
      <c r="Y46" s="717" t="n"/>
      <c r="Z46" s="717" t="n"/>
    </row>
    <row r="47">
      <c r="A47" s="697" t="inlineStr">
        <is>
          <t xml:space="preserve"> </t>
        </is>
      </c>
      <c r="B47" s="697" t="n"/>
      <c r="C47" s="697" t="n"/>
      <c r="N47" s="697" t="n"/>
      <c r="O47" s="697" t="n"/>
      <c r="P47" s="697" t="n"/>
      <c r="Q47" s="697" t="n"/>
      <c r="R47" s="697" t="n"/>
      <c r="S47" s="697" t="n"/>
      <c r="T47" s="697" t="n"/>
      <c r="U47" s="697" t="n"/>
      <c r="V47" s="697" t="n"/>
      <c r="AA47" s="697" t="n"/>
      <c r="AB47" s="697" t="n"/>
    </row>
    <row r="48">
      <c r="A48" s="697" t="inlineStr">
        <is>
          <t>Notes:</t>
        </is>
      </c>
      <c r="B48" s="697" t="n"/>
      <c r="C48" s="697" t="n"/>
      <c r="F48" s="697" t="inlineStr">
        <is>
          <t xml:space="preserve"> </t>
        </is>
      </c>
      <c r="G48" s="697" t="n"/>
      <c r="H48" s="697" t="inlineStr">
        <is>
          <t xml:space="preserve"> </t>
        </is>
      </c>
      <c r="I48" s="697" t="n"/>
      <c r="J48" s="697" t="n"/>
      <c r="K48" s="697" t="n"/>
      <c r="P48" s="697" t="inlineStr">
        <is>
          <t xml:space="preserve"> </t>
        </is>
      </c>
      <c r="Q48" s="697" t="n"/>
      <c r="R48" s="697" t="n"/>
      <c r="S48" s="697" t="inlineStr">
        <is>
          <t xml:space="preserve"> </t>
        </is>
      </c>
      <c r="T48" s="697" t="n"/>
      <c r="AA48" s="697" t="inlineStr">
        <is>
          <t xml:space="preserve"> </t>
        </is>
      </c>
      <c r="AB48" s="697" t="n"/>
    </row>
    <row r="49">
      <c r="A49" s="697" t="inlineStr">
        <is>
          <t xml:space="preserve">     1.  Adjustments for changes in market conditions over time</t>
        </is>
      </c>
      <c r="B49" s="697" t="n"/>
      <c r="C49" s="697" t="n"/>
      <c r="D49" s="697" t="n"/>
      <c r="E49" s="697" t="n"/>
      <c r="F49" s="697" t="inlineStr">
        <is>
          <t xml:space="preserve"> </t>
        </is>
      </c>
      <c r="G49" s="697" t="n"/>
      <c r="H49" s="697" t="n"/>
      <c r="I49" s="697" t="n"/>
      <c r="J49" s="697" t="n"/>
      <c r="K49" s="697" t="n"/>
      <c r="P49" s="697" t="n"/>
      <c r="Q49" s="697" t="n"/>
      <c r="R49" s="697" t="n"/>
      <c r="S49" s="697" t="n"/>
      <c r="T49" s="697" t="n"/>
      <c r="AA49" s="697" t="n"/>
      <c r="AB49" s="697" t="n"/>
    </row>
    <row r="50">
      <c r="A50" s="697" t="inlineStr">
        <is>
          <t xml:space="preserve">          are based on an annual-compound rate of:</t>
        </is>
      </c>
      <c r="B50" s="718" t="n">
        <v>0.03</v>
      </c>
      <c r="D50" s="719" t="n"/>
      <c r="E50" s="697" t="n"/>
      <c r="F50" s="697" t="n"/>
      <c r="G50" s="697" t="n"/>
      <c r="H50" s="697" t="n"/>
      <c r="I50" s="697" t="n"/>
      <c r="J50" s="697" t="n"/>
      <c r="K50" s="697" t="n"/>
      <c r="P50" s="697" t="n"/>
      <c r="Q50" s="697" t="n"/>
      <c r="R50" s="697" t="n"/>
      <c r="S50" s="697" t="n"/>
      <c r="T50" s="697" t="n"/>
      <c r="AA50" s="697" t="n"/>
      <c r="AB50" s="697" t="n"/>
    </row>
    <row r="51">
      <c r="A51" s="697" t="n"/>
      <c r="B51" s="720" t="n"/>
      <c r="C51" s="697" t="n"/>
      <c r="D51" s="697" t="n"/>
      <c r="E51" s="697" t="n"/>
      <c r="F51" s="697" t="n"/>
      <c r="G51" s="697" t="n"/>
      <c r="H51" s="697" t="n"/>
      <c r="I51" s="697" t="n"/>
      <c r="J51" s="697" t="n"/>
      <c r="K51" s="697" t="n"/>
      <c r="P51" s="697" t="n"/>
      <c r="Q51" s="697" t="n"/>
      <c r="R51" s="697" t="n"/>
      <c r="S51" s="697" t="n"/>
      <c r="T51" s="697" t="n"/>
      <c r="AA51" s="697" t="n"/>
      <c r="AB51" s="697" t="n"/>
    </row>
    <row r="52">
      <c r="A52" s="721" t="n"/>
      <c r="B52" s="722" t="n"/>
      <c r="C52" s="722" t="n"/>
      <c r="D52" s="722" t="n"/>
      <c r="E52" s="722" t="n"/>
      <c r="F52" s="723" t="n"/>
      <c r="G52" s="697" t="n"/>
      <c r="H52" s="697" t="n"/>
      <c r="I52" s="697" t="n"/>
      <c r="J52" s="697" t="n"/>
      <c r="K52" s="697" t="n"/>
      <c r="P52" s="697" t="n"/>
      <c r="Q52" s="697" t="n"/>
      <c r="R52" s="697" t="n"/>
      <c r="S52" s="697" t="n"/>
      <c r="T52" s="697" t="n"/>
      <c r="AA52" s="697" t="n"/>
      <c r="AB52" s="697" t="n"/>
    </row>
    <row r="53">
      <c r="A53" s="257" t="inlineStr">
        <is>
          <t xml:space="preserve">     Subject Property:</t>
        </is>
      </c>
      <c r="B53" s="724">
        <f>B9</f>
        <v/>
      </c>
      <c r="C53" s="725" t="n">
        <v>0</v>
      </c>
      <c r="D53" s="260" t="n"/>
      <c r="E53" s="726" t="n"/>
      <c r="F53" s="727">
        <f>ROUND(B53*C53,0)</f>
        <v/>
      </c>
      <c r="G53" s="728" t="n"/>
      <c r="H53" s="697" t="n"/>
      <c r="J53" s="697" t="n"/>
      <c r="K53" s="697" t="n"/>
      <c r="P53" s="697" t="n"/>
      <c r="Q53" s="697" t="n"/>
      <c r="R53" s="697" t="n"/>
      <c r="S53" s="697" t="n"/>
      <c r="T53" s="697" t="n"/>
      <c r="AA53" s="697" t="n"/>
      <c r="AB53" s="697" t="n"/>
    </row>
    <row r="54" ht="18" customHeight="1" s="669">
      <c r="A54" s="257" t="n"/>
      <c r="B54" s="724" t="n"/>
      <c r="C54" s="725" t="n"/>
      <c r="D54" s="260" t="n"/>
      <c r="E54" s="729" t="inlineStr">
        <is>
          <t>Rounded:</t>
        </is>
      </c>
      <c r="F54" s="730">
        <f>ROUND(F53,-3)</f>
        <v/>
      </c>
      <c r="G54" s="728" t="n"/>
      <c r="H54" s="697" t="n"/>
      <c r="I54" s="697" t="n"/>
      <c r="J54" s="697" t="n"/>
      <c r="K54" s="697" t="n"/>
      <c r="P54" s="697" t="n"/>
      <c r="Q54" s="697" t="n"/>
      <c r="R54" s="697" t="n"/>
      <c r="S54" s="697" t="n"/>
      <c r="T54" s="697" t="n"/>
      <c r="AA54" s="697" t="n"/>
      <c r="AB54" s="697" t="n"/>
    </row>
    <row r="55">
      <c r="A55" s="731" t="n"/>
      <c r="B55" s="267" t="n"/>
      <c r="C55" s="267" t="n"/>
      <c r="D55" s="732" t="n"/>
      <c r="E55" s="732" t="n"/>
      <c r="F55" s="733" t="n"/>
      <c r="G55" s="734" t="n"/>
      <c r="H55" s="697" t="n"/>
      <c r="I55" s="697" t="n"/>
      <c r="J55" s="735" t="n"/>
      <c r="K55" s="735" t="n"/>
      <c r="P55" s="735" t="n"/>
      <c r="Q55" s="735" t="n"/>
      <c r="R55" s="735" t="n"/>
      <c r="S55" s="697" t="n"/>
      <c r="T55" s="697" t="n"/>
      <c r="AA55" s="697" t="n"/>
      <c r="AB55" s="697" t="n"/>
    </row>
    <row r="56">
      <c r="A56" s="736" t="n"/>
      <c r="B56" s="736" t="n"/>
      <c r="C56" s="736" t="n"/>
      <c r="D56" s="697" t="n"/>
      <c r="E56" s="697" t="n"/>
      <c r="F56" s="736" t="n"/>
      <c r="G56" s="736" t="n"/>
      <c r="H56" s="697" t="n"/>
      <c r="I56" s="697" t="n"/>
      <c r="J56" s="697" t="n"/>
      <c r="K56" s="697" t="n"/>
      <c r="P56" s="697" t="n"/>
      <c r="Q56" s="697" t="n"/>
      <c r="R56" s="697" t="n"/>
      <c r="S56" s="697" t="n"/>
      <c r="T56" s="697" t="n"/>
      <c r="AA56" s="697" t="n"/>
      <c r="AB56" s="697" t="n"/>
    </row>
    <row r="57">
      <c r="A57" s="721" t="n"/>
      <c r="B57" s="722" t="n"/>
      <c r="C57" s="722" t="n"/>
      <c r="D57" s="722" t="n"/>
      <c r="E57" s="722" t="n"/>
      <c r="F57" s="723" t="n"/>
      <c r="G57" s="697" t="n"/>
      <c r="H57" s="697" t="n"/>
      <c r="I57" s="697" t="n"/>
      <c r="J57" s="697" t="n"/>
      <c r="K57" s="697" t="n"/>
      <c r="P57" s="697" t="n"/>
      <c r="Q57" s="697" t="n"/>
      <c r="R57" s="697" t="n"/>
      <c r="S57" s="697" t="n"/>
      <c r="T57" s="697" t="n"/>
      <c r="AA57" s="697" t="n"/>
      <c r="AB57" s="697" t="n"/>
    </row>
    <row r="58">
      <c r="A58" s="257" t="inlineStr">
        <is>
          <t xml:space="preserve">     Subject Property:</t>
        </is>
      </c>
      <c r="B58" s="724">
        <f>B12</f>
        <v/>
      </c>
      <c r="C58" s="725" t="n">
        <v>0</v>
      </c>
      <c r="D58" s="260" t="n"/>
      <c r="E58" s="726" t="n"/>
      <c r="F58" s="727">
        <f>ROUND(B58*C58,0)</f>
        <v/>
      </c>
      <c r="G58" s="728" t="n"/>
      <c r="H58" s="697" t="n"/>
      <c r="I58" s="697" t="n"/>
      <c r="J58" s="697" t="n"/>
      <c r="K58" s="697" t="n"/>
      <c r="P58" s="697" t="n"/>
      <c r="Q58" s="697" t="n"/>
      <c r="R58" s="697" t="n"/>
      <c r="S58" s="697" t="n"/>
      <c r="T58" s="697" t="n"/>
      <c r="AA58" s="697" t="n"/>
      <c r="AB58" s="697" t="n"/>
    </row>
    <row r="59" ht="18" customHeight="1" s="669">
      <c r="A59" s="257" t="n"/>
      <c r="B59" s="724" t="n"/>
      <c r="C59" s="725" t="n"/>
      <c r="D59" s="260" t="n"/>
      <c r="E59" s="729" t="inlineStr">
        <is>
          <t>Rounded:</t>
        </is>
      </c>
      <c r="F59" s="730">
        <f>ROUND(F58,-3)</f>
        <v/>
      </c>
      <c r="G59" s="728" t="n"/>
      <c r="H59" s="697" t="n"/>
      <c r="I59" s="697" t="n"/>
      <c r="J59" s="697" t="n"/>
      <c r="K59" s="697" t="n"/>
      <c r="P59" s="697" t="n"/>
      <c r="Q59" s="697" t="n"/>
      <c r="R59" s="697" t="n"/>
      <c r="S59" s="697" t="n"/>
      <c r="T59" s="697" t="n"/>
      <c r="AA59" s="697" t="n"/>
      <c r="AB59" s="697" t="n"/>
    </row>
    <row r="60">
      <c r="A60" s="731" t="n"/>
      <c r="B60" s="267" t="n"/>
      <c r="C60" s="267" t="n"/>
      <c r="D60" s="732" t="n"/>
      <c r="E60" s="732" t="n"/>
      <c r="F60" s="733" t="n"/>
      <c r="G60" s="734" t="n"/>
      <c r="H60" s="697" t="n"/>
      <c r="I60" s="697" t="n"/>
      <c r="J60" s="735" t="n"/>
      <c r="K60" s="735" t="n"/>
      <c r="P60" s="735" t="n"/>
      <c r="Q60" s="735" t="n"/>
      <c r="R60" s="735" t="n"/>
      <c r="S60" s="697" t="n"/>
      <c r="T60" s="697" t="n"/>
      <c r="AA60" s="697" t="n"/>
      <c r="AB60" s="697" t="n"/>
    </row>
  </sheetData>
  <mergeCells count="1">
    <mergeCell ref="B24:C24"/>
  </mergeCells>
  <printOptions horizontalCentered="1" verticalCentered="1" gridLinesSet="0"/>
  <pageMargins left="1" right="1" top="1.25" bottom="1" header="0.5" footer="0.5"/>
  <pageSetup orientation="landscape" scale="6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21"/>
  <sheetViews>
    <sheetView showGridLines="0" workbookViewId="0">
      <selection activeCell="G31" sqref="G31"/>
    </sheetView>
  </sheetViews>
  <sheetFormatPr baseColWidth="8" defaultRowHeight="13.9"/>
  <cols>
    <col width="6.6875" customWidth="1" style="206" min="1" max="1"/>
    <col width="8.5625" customWidth="1" style="206" min="2" max="2"/>
    <col width="19.4375" customWidth="1" style="219" min="3" max="3"/>
    <col width="11.25" customWidth="1" style="219" min="4" max="4"/>
    <col width="11.3125" customWidth="1" style="219" min="5" max="5"/>
    <col width="10.8125" customWidth="1" style="206" min="6" max="6"/>
    <col width="6.875" customWidth="1" style="206" min="7" max="7"/>
    <col width="10.125" customWidth="1" style="206" min="8" max="8"/>
    <col width="10.8125" customWidth="1" style="219" min="9" max="9"/>
    <col width="10.125" customWidth="1" style="206" min="10" max="10"/>
    <col width="10.4375" bestFit="1" customWidth="1" style="206" min="11" max="11"/>
    <col width="10.125" customWidth="1" style="206" min="12" max="13"/>
    <col width="10.4375" customWidth="1" style="206" min="14" max="14"/>
    <col width="9" customWidth="1" style="206" min="15" max="15"/>
    <col width="10.0625" bestFit="1" customWidth="1" style="206" min="16" max="16"/>
    <col width="9" customWidth="1" style="206" min="17" max="17"/>
    <col width="10.0625" bestFit="1" customWidth="1" style="206" min="18" max="18"/>
    <col width="9" customWidth="1" style="206" min="19" max="19"/>
    <col width="10.0625" bestFit="1" customWidth="1" style="206" min="20" max="20"/>
    <col width="9" customWidth="1" style="206" min="21" max="257"/>
    <col width="10.3125" customWidth="1" style="206" min="258" max="258"/>
    <col width="19.8125" customWidth="1" style="206" min="259" max="259"/>
    <col width="11.625" customWidth="1" style="206" min="260" max="260"/>
    <col width="10.4375" customWidth="1" style="206" min="261" max="261"/>
    <col width="8.1875" customWidth="1" style="206" min="262" max="262"/>
    <col width="7.875" customWidth="1" style="206" min="263" max="263"/>
    <col width="4.125" customWidth="1" style="206" min="264" max="264"/>
    <col width="9" customWidth="1" style="206" min="265" max="265"/>
    <col width="9.5" customWidth="1" style="206" min="266" max="266"/>
    <col width="9" customWidth="1" style="206" min="267" max="513"/>
    <col width="10.3125" customWidth="1" style="206" min="514" max="514"/>
    <col width="19.8125" customWidth="1" style="206" min="515" max="515"/>
    <col width="11.625" customWidth="1" style="206" min="516" max="516"/>
    <col width="10.4375" customWidth="1" style="206" min="517" max="517"/>
    <col width="8.1875" customWidth="1" style="206" min="518" max="518"/>
    <col width="7.875" customWidth="1" style="206" min="519" max="519"/>
    <col width="4.125" customWidth="1" style="206" min="520" max="520"/>
    <col width="9" customWidth="1" style="206" min="521" max="521"/>
    <col width="9.5" customWidth="1" style="206" min="522" max="522"/>
    <col width="9" customWidth="1" style="206" min="523" max="769"/>
    <col width="10.3125" customWidth="1" style="206" min="770" max="770"/>
    <col width="19.8125" customWidth="1" style="206" min="771" max="771"/>
    <col width="11.625" customWidth="1" style="206" min="772" max="772"/>
    <col width="10.4375" customWidth="1" style="206" min="773" max="773"/>
    <col width="8.1875" customWidth="1" style="206" min="774" max="774"/>
    <col width="7.875" customWidth="1" style="206" min="775" max="775"/>
    <col width="4.125" customWidth="1" style="206" min="776" max="776"/>
    <col width="9" customWidth="1" style="206" min="777" max="777"/>
    <col width="9.5" customWidth="1" style="206" min="778" max="778"/>
    <col width="9" customWidth="1" style="206" min="779" max="1025"/>
    <col width="10.3125" customWidth="1" style="206" min="1026" max="1026"/>
    <col width="19.8125" customWidth="1" style="206" min="1027" max="1027"/>
    <col width="11.625" customWidth="1" style="206" min="1028" max="1028"/>
    <col width="10.4375" customWidth="1" style="206" min="1029" max="1029"/>
    <col width="8.1875" customWidth="1" style="206" min="1030" max="1030"/>
    <col width="7.875" customWidth="1" style="206" min="1031" max="1031"/>
    <col width="4.125" customWidth="1" style="206" min="1032" max="1032"/>
    <col width="9" customWidth="1" style="206" min="1033" max="1033"/>
    <col width="9.5" customWidth="1" style="206" min="1034" max="1034"/>
    <col width="9" customWidth="1" style="206" min="1035" max="1281"/>
    <col width="10.3125" customWidth="1" style="206" min="1282" max="1282"/>
    <col width="19.8125" customWidth="1" style="206" min="1283" max="1283"/>
    <col width="11.625" customWidth="1" style="206" min="1284" max="1284"/>
    <col width="10.4375" customWidth="1" style="206" min="1285" max="1285"/>
    <col width="8.1875" customWidth="1" style="206" min="1286" max="1286"/>
    <col width="7.875" customWidth="1" style="206" min="1287" max="1287"/>
    <col width="4.125" customWidth="1" style="206" min="1288" max="1288"/>
    <col width="9" customWidth="1" style="206" min="1289" max="1289"/>
    <col width="9.5" customWidth="1" style="206" min="1290" max="1290"/>
    <col width="9" customWidth="1" style="206" min="1291" max="1537"/>
    <col width="10.3125" customWidth="1" style="206" min="1538" max="1538"/>
    <col width="19.8125" customWidth="1" style="206" min="1539" max="1539"/>
    <col width="11.625" customWidth="1" style="206" min="1540" max="1540"/>
    <col width="10.4375" customWidth="1" style="206" min="1541" max="1541"/>
    <col width="8.1875" customWidth="1" style="206" min="1542" max="1542"/>
    <col width="7.875" customWidth="1" style="206" min="1543" max="1543"/>
    <col width="4.125" customWidth="1" style="206" min="1544" max="1544"/>
    <col width="9" customWidth="1" style="206" min="1545" max="1545"/>
    <col width="9.5" customWidth="1" style="206" min="1546" max="1546"/>
    <col width="9" customWidth="1" style="206" min="1547" max="1793"/>
    <col width="10.3125" customWidth="1" style="206" min="1794" max="1794"/>
    <col width="19.8125" customWidth="1" style="206" min="1795" max="1795"/>
    <col width="11.625" customWidth="1" style="206" min="1796" max="1796"/>
    <col width="10.4375" customWidth="1" style="206" min="1797" max="1797"/>
    <col width="8.1875" customWidth="1" style="206" min="1798" max="1798"/>
    <col width="7.875" customWidth="1" style="206" min="1799" max="1799"/>
    <col width="4.125" customWidth="1" style="206" min="1800" max="1800"/>
    <col width="9" customWidth="1" style="206" min="1801" max="1801"/>
    <col width="9.5" customWidth="1" style="206" min="1802" max="1802"/>
    <col width="9" customWidth="1" style="206" min="1803" max="2049"/>
    <col width="10.3125" customWidth="1" style="206" min="2050" max="2050"/>
    <col width="19.8125" customWidth="1" style="206" min="2051" max="2051"/>
    <col width="11.625" customWidth="1" style="206" min="2052" max="2052"/>
    <col width="10.4375" customWidth="1" style="206" min="2053" max="2053"/>
    <col width="8.1875" customWidth="1" style="206" min="2054" max="2054"/>
    <col width="7.875" customWidth="1" style="206" min="2055" max="2055"/>
    <col width="4.125" customWidth="1" style="206" min="2056" max="2056"/>
    <col width="9" customWidth="1" style="206" min="2057" max="2057"/>
    <col width="9.5" customWidth="1" style="206" min="2058" max="2058"/>
    <col width="9" customWidth="1" style="206" min="2059" max="2305"/>
    <col width="10.3125" customWidth="1" style="206" min="2306" max="2306"/>
    <col width="19.8125" customWidth="1" style="206" min="2307" max="2307"/>
    <col width="11.625" customWidth="1" style="206" min="2308" max="2308"/>
    <col width="10.4375" customWidth="1" style="206" min="2309" max="2309"/>
    <col width="8.1875" customWidth="1" style="206" min="2310" max="2310"/>
    <col width="7.875" customWidth="1" style="206" min="2311" max="2311"/>
    <col width="4.125" customWidth="1" style="206" min="2312" max="2312"/>
    <col width="9" customWidth="1" style="206" min="2313" max="2313"/>
    <col width="9.5" customWidth="1" style="206" min="2314" max="2314"/>
    <col width="9" customWidth="1" style="206" min="2315" max="2561"/>
    <col width="10.3125" customWidth="1" style="206" min="2562" max="2562"/>
    <col width="19.8125" customWidth="1" style="206" min="2563" max="2563"/>
    <col width="11.625" customWidth="1" style="206" min="2564" max="2564"/>
    <col width="10.4375" customWidth="1" style="206" min="2565" max="2565"/>
    <col width="8.1875" customWidth="1" style="206" min="2566" max="2566"/>
    <col width="7.875" customWidth="1" style="206" min="2567" max="2567"/>
    <col width="4.125" customWidth="1" style="206" min="2568" max="2568"/>
    <col width="9" customWidth="1" style="206" min="2569" max="2569"/>
    <col width="9.5" customWidth="1" style="206" min="2570" max="2570"/>
    <col width="9" customWidth="1" style="206" min="2571" max="2817"/>
    <col width="10.3125" customWidth="1" style="206" min="2818" max="2818"/>
    <col width="19.8125" customWidth="1" style="206" min="2819" max="2819"/>
    <col width="11.625" customWidth="1" style="206" min="2820" max="2820"/>
    <col width="10.4375" customWidth="1" style="206" min="2821" max="2821"/>
    <col width="8.1875" customWidth="1" style="206" min="2822" max="2822"/>
    <col width="7.875" customWidth="1" style="206" min="2823" max="2823"/>
    <col width="4.125" customWidth="1" style="206" min="2824" max="2824"/>
    <col width="9" customWidth="1" style="206" min="2825" max="2825"/>
    <col width="9.5" customWidth="1" style="206" min="2826" max="2826"/>
    <col width="9" customWidth="1" style="206" min="2827" max="3073"/>
    <col width="10.3125" customWidth="1" style="206" min="3074" max="3074"/>
    <col width="19.8125" customWidth="1" style="206" min="3075" max="3075"/>
    <col width="11.625" customWidth="1" style="206" min="3076" max="3076"/>
    <col width="10.4375" customWidth="1" style="206" min="3077" max="3077"/>
    <col width="8.1875" customWidth="1" style="206" min="3078" max="3078"/>
    <col width="7.875" customWidth="1" style="206" min="3079" max="3079"/>
    <col width="4.125" customWidth="1" style="206" min="3080" max="3080"/>
    <col width="9" customWidth="1" style="206" min="3081" max="3081"/>
    <col width="9.5" customWidth="1" style="206" min="3082" max="3082"/>
    <col width="9" customWidth="1" style="206" min="3083" max="3329"/>
    <col width="10.3125" customWidth="1" style="206" min="3330" max="3330"/>
    <col width="19.8125" customWidth="1" style="206" min="3331" max="3331"/>
    <col width="11.625" customWidth="1" style="206" min="3332" max="3332"/>
    <col width="10.4375" customWidth="1" style="206" min="3333" max="3333"/>
    <col width="8.1875" customWidth="1" style="206" min="3334" max="3334"/>
    <col width="7.875" customWidth="1" style="206" min="3335" max="3335"/>
    <col width="4.125" customWidth="1" style="206" min="3336" max="3336"/>
    <col width="9" customWidth="1" style="206" min="3337" max="3337"/>
    <col width="9.5" customWidth="1" style="206" min="3338" max="3338"/>
    <col width="9" customWidth="1" style="206" min="3339" max="3585"/>
    <col width="10.3125" customWidth="1" style="206" min="3586" max="3586"/>
    <col width="19.8125" customWidth="1" style="206" min="3587" max="3587"/>
    <col width="11.625" customWidth="1" style="206" min="3588" max="3588"/>
    <col width="10.4375" customWidth="1" style="206" min="3589" max="3589"/>
    <col width="8.1875" customWidth="1" style="206" min="3590" max="3590"/>
    <col width="7.875" customWidth="1" style="206" min="3591" max="3591"/>
    <col width="4.125" customWidth="1" style="206" min="3592" max="3592"/>
    <col width="9" customWidth="1" style="206" min="3593" max="3593"/>
    <col width="9.5" customWidth="1" style="206" min="3594" max="3594"/>
    <col width="9" customWidth="1" style="206" min="3595" max="3841"/>
    <col width="10.3125" customWidth="1" style="206" min="3842" max="3842"/>
    <col width="19.8125" customWidth="1" style="206" min="3843" max="3843"/>
    <col width="11.625" customWidth="1" style="206" min="3844" max="3844"/>
    <col width="10.4375" customWidth="1" style="206" min="3845" max="3845"/>
    <col width="8.1875" customWidth="1" style="206" min="3846" max="3846"/>
    <col width="7.875" customWidth="1" style="206" min="3847" max="3847"/>
    <col width="4.125" customWidth="1" style="206" min="3848" max="3848"/>
    <col width="9" customWidth="1" style="206" min="3849" max="3849"/>
    <col width="9.5" customWidth="1" style="206" min="3850" max="3850"/>
    <col width="9" customWidth="1" style="206" min="3851" max="4097"/>
    <col width="10.3125" customWidth="1" style="206" min="4098" max="4098"/>
    <col width="19.8125" customWidth="1" style="206" min="4099" max="4099"/>
    <col width="11.625" customWidth="1" style="206" min="4100" max="4100"/>
    <col width="10.4375" customWidth="1" style="206" min="4101" max="4101"/>
    <col width="8.1875" customWidth="1" style="206" min="4102" max="4102"/>
    <col width="7.875" customWidth="1" style="206" min="4103" max="4103"/>
    <col width="4.125" customWidth="1" style="206" min="4104" max="4104"/>
    <col width="9" customWidth="1" style="206" min="4105" max="4105"/>
    <col width="9.5" customWidth="1" style="206" min="4106" max="4106"/>
    <col width="9" customWidth="1" style="206" min="4107" max="4353"/>
    <col width="10.3125" customWidth="1" style="206" min="4354" max="4354"/>
    <col width="19.8125" customWidth="1" style="206" min="4355" max="4355"/>
    <col width="11.625" customWidth="1" style="206" min="4356" max="4356"/>
    <col width="10.4375" customWidth="1" style="206" min="4357" max="4357"/>
    <col width="8.1875" customWidth="1" style="206" min="4358" max="4358"/>
    <col width="7.875" customWidth="1" style="206" min="4359" max="4359"/>
    <col width="4.125" customWidth="1" style="206" min="4360" max="4360"/>
    <col width="9" customWidth="1" style="206" min="4361" max="4361"/>
    <col width="9.5" customWidth="1" style="206" min="4362" max="4362"/>
    <col width="9" customWidth="1" style="206" min="4363" max="4609"/>
    <col width="10.3125" customWidth="1" style="206" min="4610" max="4610"/>
    <col width="19.8125" customWidth="1" style="206" min="4611" max="4611"/>
    <col width="11.625" customWidth="1" style="206" min="4612" max="4612"/>
    <col width="10.4375" customWidth="1" style="206" min="4613" max="4613"/>
    <col width="8.1875" customWidth="1" style="206" min="4614" max="4614"/>
    <col width="7.875" customWidth="1" style="206" min="4615" max="4615"/>
    <col width="4.125" customWidth="1" style="206" min="4616" max="4616"/>
    <col width="9" customWidth="1" style="206" min="4617" max="4617"/>
    <col width="9.5" customWidth="1" style="206" min="4618" max="4618"/>
    <col width="9" customWidth="1" style="206" min="4619" max="4865"/>
    <col width="10.3125" customWidth="1" style="206" min="4866" max="4866"/>
    <col width="19.8125" customWidth="1" style="206" min="4867" max="4867"/>
    <col width="11.625" customWidth="1" style="206" min="4868" max="4868"/>
    <col width="10.4375" customWidth="1" style="206" min="4869" max="4869"/>
    <col width="8.1875" customWidth="1" style="206" min="4870" max="4870"/>
    <col width="7.875" customWidth="1" style="206" min="4871" max="4871"/>
    <col width="4.125" customWidth="1" style="206" min="4872" max="4872"/>
    <col width="9" customWidth="1" style="206" min="4873" max="4873"/>
    <col width="9.5" customWidth="1" style="206" min="4874" max="4874"/>
    <col width="9" customWidth="1" style="206" min="4875" max="5121"/>
    <col width="10.3125" customWidth="1" style="206" min="5122" max="5122"/>
    <col width="19.8125" customWidth="1" style="206" min="5123" max="5123"/>
    <col width="11.625" customWidth="1" style="206" min="5124" max="5124"/>
    <col width="10.4375" customWidth="1" style="206" min="5125" max="5125"/>
    <col width="8.1875" customWidth="1" style="206" min="5126" max="5126"/>
    <col width="7.875" customWidth="1" style="206" min="5127" max="5127"/>
    <col width="4.125" customWidth="1" style="206" min="5128" max="5128"/>
    <col width="9" customWidth="1" style="206" min="5129" max="5129"/>
    <col width="9.5" customWidth="1" style="206" min="5130" max="5130"/>
    <col width="9" customWidth="1" style="206" min="5131" max="5377"/>
    <col width="10.3125" customWidth="1" style="206" min="5378" max="5378"/>
    <col width="19.8125" customWidth="1" style="206" min="5379" max="5379"/>
    <col width="11.625" customWidth="1" style="206" min="5380" max="5380"/>
    <col width="10.4375" customWidth="1" style="206" min="5381" max="5381"/>
    <col width="8.1875" customWidth="1" style="206" min="5382" max="5382"/>
    <col width="7.875" customWidth="1" style="206" min="5383" max="5383"/>
    <col width="4.125" customWidth="1" style="206" min="5384" max="5384"/>
    <col width="9" customWidth="1" style="206" min="5385" max="5385"/>
    <col width="9.5" customWidth="1" style="206" min="5386" max="5386"/>
    <col width="9" customWidth="1" style="206" min="5387" max="5633"/>
    <col width="10.3125" customWidth="1" style="206" min="5634" max="5634"/>
    <col width="19.8125" customWidth="1" style="206" min="5635" max="5635"/>
    <col width="11.625" customWidth="1" style="206" min="5636" max="5636"/>
    <col width="10.4375" customWidth="1" style="206" min="5637" max="5637"/>
    <col width="8.1875" customWidth="1" style="206" min="5638" max="5638"/>
    <col width="7.875" customWidth="1" style="206" min="5639" max="5639"/>
    <col width="4.125" customWidth="1" style="206" min="5640" max="5640"/>
    <col width="9" customWidth="1" style="206" min="5641" max="5641"/>
    <col width="9.5" customWidth="1" style="206" min="5642" max="5642"/>
    <col width="9" customWidth="1" style="206" min="5643" max="5889"/>
    <col width="10.3125" customWidth="1" style="206" min="5890" max="5890"/>
    <col width="19.8125" customWidth="1" style="206" min="5891" max="5891"/>
    <col width="11.625" customWidth="1" style="206" min="5892" max="5892"/>
    <col width="10.4375" customWidth="1" style="206" min="5893" max="5893"/>
    <col width="8.1875" customWidth="1" style="206" min="5894" max="5894"/>
    <col width="7.875" customWidth="1" style="206" min="5895" max="5895"/>
    <col width="4.125" customWidth="1" style="206" min="5896" max="5896"/>
    <col width="9" customWidth="1" style="206" min="5897" max="5897"/>
    <col width="9.5" customWidth="1" style="206" min="5898" max="5898"/>
    <col width="9" customWidth="1" style="206" min="5899" max="6145"/>
    <col width="10.3125" customWidth="1" style="206" min="6146" max="6146"/>
    <col width="19.8125" customWidth="1" style="206" min="6147" max="6147"/>
    <col width="11.625" customWidth="1" style="206" min="6148" max="6148"/>
    <col width="10.4375" customWidth="1" style="206" min="6149" max="6149"/>
    <col width="8.1875" customWidth="1" style="206" min="6150" max="6150"/>
    <col width="7.875" customWidth="1" style="206" min="6151" max="6151"/>
    <col width="4.125" customWidth="1" style="206" min="6152" max="6152"/>
    <col width="9" customWidth="1" style="206" min="6153" max="6153"/>
    <col width="9.5" customWidth="1" style="206" min="6154" max="6154"/>
    <col width="9" customWidth="1" style="206" min="6155" max="6401"/>
    <col width="10.3125" customWidth="1" style="206" min="6402" max="6402"/>
    <col width="19.8125" customWidth="1" style="206" min="6403" max="6403"/>
    <col width="11.625" customWidth="1" style="206" min="6404" max="6404"/>
    <col width="10.4375" customWidth="1" style="206" min="6405" max="6405"/>
    <col width="8.1875" customWidth="1" style="206" min="6406" max="6406"/>
    <col width="7.875" customWidth="1" style="206" min="6407" max="6407"/>
    <col width="4.125" customWidth="1" style="206" min="6408" max="6408"/>
    <col width="9" customWidth="1" style="206" min="6409" max="6409"/>
    <col width="9.5" customWidth="1" style="206" min="6410" max="6410"/>
    <col width="9" customWidth="1" style="206" min="6411" max="6657"/>
    <col width="10.3125" customWidth="1" style="206" min="6658" max="6658"/>
    <col width="19.8125" customWidth="1" style="206" min="6659" max="6659"/>
    <col width="11.625" customWidth="1" style="206" min="6660" max="6660"/>
    <col width="10.4375" customWidth="1" style="206" min="6661" max="6661"/>
    <col width="8.1875" customWidth="1" style="206" min="6662" max="6662"/>
    <col width="7.875" customWidth="1" style="206" min="6663" max="6663"/>
    <col width="4.125" customWidth="1" style="206" min="6664" max="6664"/>
    <col width="9" customWidth="1" style="206" min="6665" max="6665"/>
    <col width="9.5" customWidth="1" style="206" min="6666" max="6666"/>
    <col width="9" customWidth="1" style="206" min="6667" max="6913"/>
    <col width="10.3125" customWidth="1" style="206" min="6914" max="6914"/>
    <col width="19.8125" customWidth="1" style="206" min="6915" max="6915"/>
    <col width="11.625" customWidth="1" style="206" min="6916" max="6916"/>
    <col width="10.4375" customWidth="1" style="206" min="6917" max="6917"/>
    <col width="8.1875" customWidth="1" style="206" min="6918" max="6918"/>
    <col width="7.875" customWidth="1" style="206" min="6919" max="6919"/>
    <col width="4.125" customWidth="1" style="206" min="6920" max="6920"/>
    <col width="9" customWidth="1" style="206" min="6921" max="6921"/>
    <col width="9.5" customWidth="1" style="206" min="6922" max="6922"/>
    <col width="9" customWidth="1" style="206" min="6923" max="7169"/>
    <col width="10.3125" customWidth="1" style="206" min="7170" max="7170"/>
    <col width="19.8125" customWidth="1" style="206" min="7171" max="7171"/>
    <col width="11.625" customWidth="1" style="206" min="7172" max="7172"/>
    <col width="10.4375" customWidth="1" style="206" min="7173" max="7173"/>
    <col width="8.1875" customWidth="1" style="206" min="7174" max="7174"/>
    <col width="7.875" customWidth="1" style="206" min="7175" max="7175"/>
    <col width="4.125" customWidth="1" style="206" min="7176" max="7176"/>
    <col width="9" customWidth="1" style="206" min="7177" max="7177"/>
    <col width="9.5" customWidth="1" style="206" min="7178" max="7178"/>
    <col width="9" customWidth="1" style="206" min="7179" max="7425"/>
    <col width="10.3125" customWidth="1" style="206" min="7426" max="7426"/>
    <col width="19.8125" customWidth="1" style="206" min="7427" max="7427"/>
    <col width="11.625" customWidth="1" style="206" min="7428" max="7428"/>
    <col width="10.4375" customWidth="1" style="206" min="7429" max="7429"/>
    <col width="8.1875" customWidth="1" style="206" min="7430" max="7430"/>
    <col width="7.875" customWidth="1" style="206" min="7431" max="7431"/>
    <col width="4.125" customWidth="1" style="206" min="7432" max="7432"/>
    <col width="9" customWidth="1" style="206" min="7433" max="7433"/>
    <col width="9.5" customWidth="1" style="206" min="7434" max="7434"/>
    <col width="9" customWidth="1" style="206" min="7435" max="7681"/>
    <col width="10.3125" customWidth="1" style="206" min="7682" max="7682"/>
    <col width="19.8125" customWidth="1" style="206" min="7683" max="7683"/>
    <col width="11.625" customWidth="1" style="206" min="7684" max="7684"/>
    <col width="10.4375" customWidth="1" style="206" min="7685" max="7685"/>
    <col width="8.1875" customWidth="1" style="206" min="7686" max="7686"/>
    <col width="7.875" customWidth="1" style="206" min="7687" max="7687"/>
    <col width="4.125" customWidth="1" style="206" min="7688" max="7688"/>
    <col width="9" customWidth="1" style="206" min="7689" max="7689"/>
    <col width="9.5" customWidth="1" style="206" min="7690" max="7690"/>
    <col width="9" customWidth="1" style="206" min="7691" max="7937"/>
    <col width="10.3125" customWidth="1" style="206" min="7938" max="7938"/>
    <col width="19.8125" customWidth="1" style="206" min="7939" max="7939"/>
    <col width="11.625" customWidth="1" style="206" min="7940" max="7940"/>
    <col width="10.4375" customWidth="1" style="206" min="7941" max="7941"/>
    <col width="8.1875" customWidth="1" style="206" min="7942" max="7942"/>
    <col width="7.875" customWidth="1" style="206" min="7943" max="7943"/>
    <col width="4.125" customWidth="1" style="206" min="7944" max="7944"/>
    <col width="9" customWidth="1" style="206" min="7945" max="7945"/>
    <col width="9.5" customWidth="1" style="206" min="7946" max="7946"/>
    <col width="9" customWidth="1" style="206" min="7947" max="8193"/>
    <col width="10.3125" customWidth="1" style="206" min="8194" max="8194"/>
    <col width="19.8125" customWidth="1" style="206" min="8195" max="8195"/>
    <col width="11.625" customWidth="1" style="206" min="8196" max="8196"/>
    <col width="10.4375" customWidth="1" style="206" min="8197" max="8197"/>
    <col width="8.1875" customWidth="1" style="206" min="8198" max="8198"/>
    <col width="7.875" customWidth="1" style="206" min="8199" max="8199"/>
    <col width="4.125" customWidth="1" style="206" min="8200" max="8200"/>
    <col width="9" customWidth="1" style="206" min="8201" max="8201"/>
    <col width="9.5" customWidth="1" style="206" min="8202" max="8202"/>
    <col width="9" customWidth="1" style="206" min="8203" max="8449"/>
    <col width="10.3125" customWidth="1" style="206" min="8450" max="8450"/>
    <col width="19.8125" customWidth="1" style="206" min="8451" max="8451"/>
    <col width="11.625" customWidth="1" style="206" min="8452" max="8452"/>
    <col width="10.4375" customWidth="1" style="206" min="8453" max="8453"/>
    <col width="8.1875" customWidth="1" style="206" min="8454" max="8454"/>
    <col width="7.875" customWidth="1" style="206" min="8455" max="8455"/>
    <col width="4.125" customWidth="1" style="206" min="8456" max="8456"/>
    <col width="9" customWidth="1" style="206" min="8457" max="8457"/>
    <col width="9.5" customWidth="1" style="206" min="8458" max="8458"/>
    <col width="9" customWidth="1" style="206" min="8459" max="8705"/>
    <col width="10.3125" customWidth="1" style="206" min="8706" max="8706"/>
    <col width="19.8125" customWidth="1" style="206" min="8707" max="8707"/>
    <col width="11.625" customWidth="1" style="206" min="8708" max="8708"/>
    <col width="10.4375" customWidth="1" style="206" min="8709" max="8709"/>
    <col width="8.1875" customWidth="1" style="206" min="8710" max="8710"/>
    <col width="7.875" customWidth="1" style="206" min="8711" max="8711"/>
    <col width="4.125" customWidth="1" style="206" min="8712" max="8712"/>
    <col width="9" customWidth="1" style="206" min="8713" max="8713"/>
    <col width="9.5" customWidth="1" style="206" min="8714" max="8714"/>
    <col width="9" customWidth="1" style="206" min="8715" max="8961"/>
    <col width="10.3125" customWidth="1" style="206" min="8962" max="8962"/>
    <col width="19.8125" customWidth="1" style="206" min="8963" max="8963"/>
    <col width="11.625" customWidth="1" style="206" min="8964" max="8964"/>
    <col width="10.4375" customWidth="1" style="206" min="8965" max="8965"/>
    <col width="8.1875" customWidth="1" style="206" min="8966" max="8966"/>
    <col width="7.875" customWidth="1" style="206" min="8967" max="8967"/>
    <col width="4.125" customWidth="1" style="206" min="8968" max="8968"/>
    <col width="9" customWidth="1" style="206" min="8969" max="8969"/>
    <col width="9.5" customWidth="1" style="206" min="8970" max="8970"/>
    <col width="9" customWidth="1" style="206" min="8971" max="9217"/>
    <col width="10.3125" customWidth="1" style="206" min="9218" max="9218"/>
    <col width="19.8125" customWidth="1" style="206" min="9219" max="9219"/>
    <col width="11.625" customWidth="1" style="206" min="9220" max="9220"/>
    <col width="10.4375" customWidth="1" style="206" min="9221" max="9221"/>
    <col width="8.1875" customWidth="1" style="206" min="9222" max="9222"/>
    <col width="7.875" customWidth="1" style="206" min="9223" max="9223"/>
    <col width="4.125" customWidth="1" style="206" min="9224" max="9224"/>
    <col width="9" customWidth="1" style="206" min="9225" max="9225"/>
    <col width="9.5" customWidth="1" style="206" min="9226" max="9226"/>
    <col width="9" customWidth="1" style="206" min="9227" max="9473"/>
    <col width="10.3125" customWidth="1" style="206" min="9474" max="9474"/>
    <col width="19.8125" customWidth="1" style="206" min="9475" max="9475"/>
    <col width="11.625" customWidth="1" style="206" min="9476" max="9476"/>
    <col width="10.4375" customWidth="1" style="206" min="9477" max="9477"/>
    <col width="8.1875" customWidth="1" style="206" min="9478" max="9478"/>
    <col width="7.875" customWidth="1" style="206" min="9479" max="9479"/>
    <col width="4.125" customWidth="1" style="206" min="9480" max="9480"/>
    <col width="9" customWidth="1" style="206" min="9481" max="9481"/>
    <col width="9.5" customWidth="1" style="206" min="9482" max="9482"/>
    <col width="9" customWidth="1" style="206" min="9483" max="9729"/>
    <col width="10.3125" customWidth="1" style="206" min="9730" max="9730"/>
    <col width="19.8125" customWidth="1" style="206" min="9731" max="9731"/>
    <col width="11.625" customWidth="1" style="206" min="9732" max="9732"/>
    <col width="10.4375" customWidth="1" style="206" min="9733" max="9733"/>
    <col width="8.1875" customWidth="1" style="206" min="9734" max="9734"/>
    <col width="7.875" customWidth="1" style="206" min="9735" max="9735"/>
    <col width="4.125" customWidth="1" style="206" min="9736" max="9736"/>
    <col width="9" customWidth="1" style="206" min="9737" max="9737"/>
    <col width="9.5" customWidth="1" style="206" min="9738" max="9738"/>
    <col width="9" customWidth="1" style="206" min="9739" max="9985"/>
    <col width="10.3125" customWidth="1" style="206" min="9986" max="9986"/>
    <col width="19.8125" customWidth="1" style="206" min="9987" max="9987"/>
    <col width="11.625" customWidth="1" style="206" min="9988" max="9988"/>
    <col width="10.4375" customWidth="1" style="206" min="9989" max="9989"/>
    <col width="8.1875" customWidth="1" style="206" min="9990" max="9990"/>
    <col width="7.875" customWidth="1" style="206" min="9991" max="9991"/>
    <col width="4.125" customWidth="1" style="206" min="9992" max="9992"/>
    <col width="9" customWidth="1" style="206" min="9993" max="9993"/>
    <col width="9.5" customWidth="1" style="206" min="9994" max="9994"/>
    <col width="9" customWidth="1" style="206" min="9995" max="10241"/>
    <col width="10.3125" customWidth="1" style="206" min="10242" max="10242"/>
    <col width="19.8125" customWidth="1" style="206" min="10243" max="10243"/>
    <col width="11.625" customWidth="1" style="206" min="10244" max="10244"/>
    <col width="10.4375" customWidth="1" style="206" min="10245" max="10245"/>
    <col width="8.1875" customWidth="1" style="206" min="10246" max="10246"/>
    <col width="7.875" customWidth="1" style="206" min="10247" max="10247"/>
    <col width="4.125" customWidth="1" style="206" min="10248" max="10248"/>
    <col width="9" customWidth="1" style="206" min="10249" max="10249"/>
    <col width="9.5" customWidth="1" style="206" min="10250" max="10250"/>
    <col width="9" customWidth="1" style="206" min="10251" max="10497"/>
    <col width="10.3125" customWidth="1" style="206" min="10498" max="10498"/>
    <col width="19.8125" customWidth="1" style="206" min="10499" max="10499"/>
    <col width="11.625" customWidth="1" style="206" min="10500" max="10500"/>
    <col width="10.4375" customWidth="1" style="206" min="10501" max="10501"/>
    <col width="8.1875" customWidth="1" style="206" min="10502" max="10502"/>
    <col width="7.875" customWidth="1" style="206" min="10503" max="10503"/>
    <col width="4.125" customWidth="1" style="206" min="10504" max="10504"/>
    <col width="9" customWidth="1" style="206" min="10505" max="10505"/>
    <col width="9.5" customWidth="1" style="206" min="10506" max="10506"/>
    <col width="9" customWidth="1" style="206" min="10507" max="10753"/>
    <col width="10.3125" customWidth="1" style="206" min="10754" max="10754"/>
    <col width="19.8125" customWidth="1" style="206" min="10755" max="10755"/>
    <col width="11.625" customWidth="1" style="206" min="10756" max="10756"/>
    <col width="10.4375" customWidth="1" style="206" min="10757" max="10757"/>
    <col width="8.1875" customWidth="1" style="206" min="10758" max="10758"/>
    <col width="7.875" customWidth="1" style="206" min="10759" max="10759"/>
    <col width="4.125" customWidth="1" style="206" min="10760" max="10760"/>
    <col width="9" customWidth="1" style="206" min="10761" max="10761"/>
    <col width="9.5" customWidth="1" style="206" min="10762" max="10762"/>
    <col width="9" customWidth="1" style="206" min="10763" max="11009"/>
    <col width="10.3125" customWidth="1" style="206" min="11010" max="11010"/>
    <col width="19.8125" customWidth="1" style="206" min="11011" max="11011"/>
    <col width="11.625" customWidth="1" style="206" min="11012" max="11012"/>
    <col width="10.4375" customWidth="1" style="206" min="11013" max="11013"/>
    <col width="8.1875" customWidth="1" style="206" min="11014" max="11014"/>
    <col width="7.875" customWidth="1" style="206" min="11015" max="11015"/>
    <col width="4.125" customWidth="1" style="206" min="11016" max="11016"/>
    <col width="9" customWidth="1" style="206" min="11017" max="11017"/>
    <col width="9.5" customWidth="1" style="206" min="11018" max="11018"/>
    <col width="9" customWidth="1" style="206" min="11019" max="11265"/>
    <col width="10.3125" customWidth="1" style="206" min="11266" max="11266"/>
    <col width="19.8125" customWidth="1" style="206" min="11267" max="11267"/>
    <col width="11.625" customWidth="1" style="206" min="11268" max="11268"/>
    <col width="10.4375" customWidth="1" style="206" min="11269" max="11269"/>
    <col width="8.1875" customWidth="1" style="206" min="11270" max="11270"/>
    <col width="7.875" customWidth="1" style="206" min="11271" max="11271"/>
    <col width="4.125" customWidth="1" style="206" min="11272" max="11272"/>
    <col width="9" customWidth="1" style="206" min="11273" max="11273"/>
    <col width="9.5" customWidth="1" style="206" min="11274" max="11274"/>
    <col width="9" customWidth="1" style="206" min="11275" max="11521"/>
    <col width="10.3125" customWidth="1" style="206" min="11522" max="11522"/>
    <col width="19.8125" customWidth="1" style="206" min="11523" max="11523"/>
    <col width="11.625" customWidth="1" style="206" min="11524" max="11524"/>
    <col width="10.4375" customWidth="1" style="206" min="11525" max="11525"/>
    <col width="8.1875" customWidth="1" style="206" min="11526" max="11526"/>
    <col width="7.875" customWidth="1" style="206" min="11527" max="11527"/>
    <col width="4.125" customWidth="1" style="206" min="11528" max="11528"/>
    <col width="9" customWidth="1" style="206" min="11529" max="11529"/>
    <col width="9.5" customWidth="1" style="206" min="11530" max="11530"/>
    <col width="9" customWidth="1" style="206" min="11531" max="11777"/>
    <col width="10.3125" customWidth="1" style="206" min="11778" max="11778"/>
    <col width="19.8125" customWidth="1" style="206" min="11779" max="11779"/>
    <col width="11.625" customWidth="1" style="206" min="11780" max="11780"/>
    <col width="10.4375" customWidth="1" style="206" min="11781" max="11781"/>
    <col width="8.1875" customWidth="1" style="206" min="11782" max="11782"/>
    <col width="7.875" customWidth="1" style="206" min="11783" max="11783"/>
    <col width="4.125" customWidth="1" style="206" min="11784" max="11784"/>
    <col width="9" customWidth="1" style="206" min="11785" max="11785"/>
    <col width="9.5" customWidth="1" style="206" min="11786" max="11786"/>
    <col width="9" customWidth="1" style="206" min="11787" max="12033"/>
    <col width="10.3125" customWidth="1" style="206" min="12034" max="12034"/>
    <col width="19.8125" customWidth="1" style="206" min="12035" max="12035"/>
    <col width="11.625" customWidth="1" style="206" min="12036" max="12036"/>
    <col width="10.4375" customWidth="1" style="206" min="12037" max="12037"/>
    <col width="8.1875" customWidth="1" style="206" min="12038" max="12038"/>
    <col width="7.875" customWidth="1" style="206" min="12039" max="12039"/>
    <col width="4.125" customWidth="1" style="206" min="12040" max="12040"/>
    <col width="9" customWidth="1" style="206" min="12041" max="12041"/>
    <col width="9.5" customWidth="1" style="206" min="12042" max="12042"/>
    <col width="9" customWidth="1" style="206" min="12043" max="12289"/>
    <col width="10.3125" customWidth="1" style="206" min="12290" max="12290"/>
    <col width="19.8125" customWidth="1" style="206" min="12291" max="12291"/>
    <col width="11.625" customWidth="1" style="206" min="12292" max="12292"/>
    <col width="10.4375" customWidth="1" style="206" min="12293" max="12293"/>
    <col width="8.1875" customWidth="1" style="206" min="12294" max="12294"/>
    <col width="7.875" customWidth="1" style="206" min="12295" max="12295"/>
    <col width="4.125" customWidth="1" style="206" min="12296" max="12296"/>
    <col width="9" customWidth="1" style="206" min="12297" max="12297"/>
    <col width="9.5" customWidth="1" style="206" min="12298" max="12298"/>
    <col width="9" customWidth="1" style="206" min="12299" max="12545"/>
    <col width="10.3125" customWidth="1" style="206" min="12546" max="12546"/>
    <col width="19.8125" customWidth="1" style="206" min="12547" max="12547"/>
    <col width="11.625" customWidth="1" style="206" min="12548" max="12548"/>
    <col width="10.4375" customWidth="1" style="206" min="12549" max="12549"/>
    <col width="8.1875" customWidth="1" style="206" min="12550" max="12550"/>
    <col width="7.875" customWidth="1" style="206" min="12551" max="12551"/>
    <col width="4.125" customWidth="1" style="206" min="12552" max="12552"/>
    <col width="9" customWidth="1" style="206" min="12553" max="12553"/>
    <col width="9.5" customWidth="1" style="206" min="12554" max="12554"/>
    <col width="9" customWidth="1" style="206" min="12555" max="12801"/>
    <col width="10.3125" customWidth="1" style="206" min="12802" max="12802"/>
    <col width="19.8125" customWidth="1" style="206" min="12803" max="12803"/>
    <col width="11.625" customWidth="1" style="206" min="12804" max="12804"/>
    <col width="10.4375" customWidth="1" style="206" min="12805" max="12805"/>
    <col width="8.1875" customWidth="1" style="206" min="12806" max="12806"/>
    <col width="7.875" customWidth="1" style="206" min="12807" max="12807"/>
    <col width="4.125" customWidth="1" style="206" min="12808" max="12808"/>
    <col width="9" customWidth="1" style="206" min="12809" max="12809"/>
    <col width="9.5" customWidth="1" style="206" min="12810" max="12810"/>
    <col width="9" customWidth="1" style="206" min="12811" max="13057"/>
    <col width="10.3125" customWidth="1" style="206" min="13058" max="13058"/>
    <col width="19.8125" customWidth="1" style="206" min="13059" max="13059"/>
    <col width="11.625" customWidth="1" style="206" min="13060" max="13060"/>
    <col width="10.4375" customWidth="1" style="206" min="13061" max="13061"/>
    <col width="8.1875" customWidth="1" style="206" min="13062" max="13062"/>
    <col width="7.875" customWidth="1" style="206" min="13063" max="13063"/>
    <col width="4.125" customWidth="1" style="206" min="13064" max="13064"/>
    <col width="9" customWidth="1" style="206" min="13065" max="13065"/>
    <col width="9.5" customWidth="1" style="206" min="13066" max="13066"/>
    <col width="9" customWidth="1" style="206" min="13067" max="13313"/>
    <col width="10.3125" customWidth="1" style="206" min="13314" max="13314"/>
    <col width="19.8125" customWidth="1" style="206" min="13315" max="13315"/>
    <col width="11.625" customWidth="1" style="206" min="13316" max="13316"/>
    <col width="10.4375" customWidth="1" style="206" min="13317" max="13317"/>
    <col width="8.1875" customWidth="1" style="206" min="13318" max="13318"/>
    <col width="7.875" customWidth="1" style="206" min="13319" max="13319"/>
    <col width="4.125" customWidth="1" style="206" min="13320" max="13320"/>
    <col width="9" customWidth="1" style="206" min="13321" max="13321"/>
    <col width="9.5" customWidth="1" style="206" min="13322" max="13322"/>
    <col width="9" customWidth="1" style="206" min="13323" max="13569"/>
    <col width="10.3125" customWidth="1" style="206" min="13570" max="13570"/>
    <col width="19.8125" customWidth="1" style="206" min="13571" max="13571"/>
    <col width="11.625" customWidth="1" style="206" min="13572" max="13572"/>
    <col width="10.4375" customWidth="1" style="206" min="13573" max="13573"/>
    <col width="8.1875" customWidth="1" style="206" min="13574" max="13574"/>
    <col width="7.875" customWidth="1" style="206" min="13575" max="13575"/>
    <col width="4.125" customWidth="1" style="206" min="13576" max="13576"/>
    <col width="9" customWidth="1" style="206" min="13577" max="13577"/>
    <col width="9.5" customWidth="1" style="206" min="13578" max="13578"/>
    <col width="9" customWidth="1" style="206" min="13579" max="13825"/>
    <col width="10.3125" customWidth="1" style="206" min="13826" max="13826"/>
    <col width="19.8125" customWidth="1" style="206" min="13827" max="13827"/>
    <col width="11.625" customWidth="1" style="206" min="13828" max="13828"/>
    <col width="10.4375" customWidth="1" style="206" min="13829" max="13829"/>
    <col width="8.1875" customWidth="1" style="206" min="13830" max="13830"/>
    <col width="7.875" customWidth="1" style="206" min="13831" max="13831"/>
    <col width="4.125" customWidth="1" style="206" min="13832" max="13832"/>
    <col width="9" customWidth="1" style="206" min="13833" max="13833"/>
    <col width="9.5" customWidth="1" style="206" min="13834" max="13834"/>
    <col width="9" customWidth="1" style="206" min="13835" max="14081"/>
    <col width="10.3125" customWidth="1" style="206" min="14082" max="14082"/>
    <col width="19.8125" customWidth="1" style="206" min="14083" max="14083"/>
    <col width="11.625" customWidth="1" style="206" min="14084" max="14084"/>
    <col width="10.4375" customWidth="1" style="206" min="14085" max="14085"/>
    <col width="8.1875" customWidth="1" style="206" min="14086" max="14086"/>
    <col width="7.875" customWidth="1" style="206" min="14087" max="14087"/>
    <col width="4.125" customWidth="1" style="206" min="14088" max="14088"/>
    <col width="9" customWidth="1" style="206" min="14089" max="14089"/>
    <col width="9.5" customWidth="1" style="206" min="14090" max="14090"/>
    <col width="9" customWidth="1" style="206" min="14091" max="14337"/>
    <col width="10.3125" customWidth="1" style="206" min="14338" max="14338"/>
    <col width="19.8125" customWidth="1" style="206" min="14339" max="14339"/>
    <col width="11.625" customWidth="1" style="206" min="14340" max="14340"/>
    <col width="10.4375" customWidth="1" style="206" min="14341" max="14341"/>
    <col width="8.1875" customWidth="1" style="206" min="14342" max="14342"/>
    <col width="7.875" customWidth="1" style="206" min="14343" max="14343"/>
    <col width="4.125" customWidth="1" style="206" min="14344" max="14344"/>
    <col width="9" customWidth="1" style="206" min="14345" max="14345"/>
    <col width="9.5" customWidth="1" style="206" min="14346" max="14346"/>
    <col width="9" customWidth="1" style="206" min="14347" max="14593"/>
    <col width="10.3125" customWidth="1" style="206" min="14594" max="14594"/>
    <col width="19.8125" customWidth="1" style="206" min="14595" max="14595"/>
    <col width="11.625" customWidth="1" style="206" min="14596" max="14596"/>
    <col width="10.4375" customWidth="1" style="206" min="14597" max="14597"/>
    <col width="8.1875" customWidth="1" style="206" min="14598" max="14598"/>
    <col width="7.875" customWidth="1" style="206" min="14599" max="14599"/>
    <col width="4.125" customWidth="1" style="206" min="14600" max="14600"/>
    <col width="9" customWidth="1" style="206" min="14601" max="14601"/>
    <col width="9.5" customWidth="1" style="206" min="14602" max="14602"/>
    <col width="9" customWidth="1" style="206" min="14603" max="14849"/>
    <col width="10.3125" customWidth="1" style="206" min="14850" max="14850"/>
    <col width="19.8125" customWidth="1" style="206" min="14851" max="14851"/>
    <col width="11.625" customWidth="1" style="206" min="14852" max="14852"/>
    <col width="10.4375" customWidth="1" style="206" min="14853" max="14853"/>
    <col width="8.1875" customWidth="1" style="206" min="14854" max="14854"/>
    <col width="7.875" customWidth="1" style="206" min="14855" max="14855"/>
    <col width="4.125" customWidth="1" style="206" min="14856" max="14856"/>
    <col width="9" customWidth="1" style="206" min="14857" max="14857"/>
    <col width="9.5" customWidth="1" style="206" min="14858" max="14858"/>
    <col width="9" customWidth="1" style="206" min="14859" max="15105"/>
    <col width="10.3125" customWidth="1" style="206" min="15106" max="15106"/>
    <col width="19.8125" customWidth="1" style="206" min="15107" max="15107"/>
    <col width="11.625" customWidth="1" style="206" min="15108" max="15108"/>
    <col width="10.4375" customWidth="1" style="206" min="15109" max="15109"/>
    <col width="8.1875" customWidth="1" style="206" min="15110" max="15110"/>
    <col width="7.875" customWidth="1" style="206" min="15111" max="15111"/>
    <col width="4.125" customWidth="1" style="206" min="15112" max="15112"/>
    <col width="9" customWidth="1" style="206" min="15113" max="15113"/>
    <col width="9.5" customWidth="1" style="206" min="15114" max="15114"/>
    <col width="9" customWidth="1" style="206" min="15115" max="15361"/>
    <col width="10.3125" customWidth="1" style="206" min="15362" max="15362"/>
    <col width="19.8125" customWidth="1" style="206" min="15363" max="15363"/>
    <col width="11.625" customWidth="1" style="206" min="15364" max="15364"/>
    <col width="10.4375" customWidth="1" style="206" min="15365" max="15365"/>
    <col width="8.1875" customWidth="1" style="206" min="15366" max="15366"/>
    <col width="7.875" customWidth="1" style="206" min="15367" max="15367"/>
    <col width="4.125" customWidth="1" style="206" min="15368" max="15368"/>
    <col width="9" customWidth="1" style="206" min="15369" max="15369"/>
    <col width="9.5" customWidth="1" style="206" min="15370" max="15370"/>
    <col width="9" customWidth="1" style="206" min="15371" max="15617"/>
    <col width="10.3125" customWidth="1" style="206" min="15618" max="15618"/>
    <col width="19.8125" customWidth="1" style="206" min="15619" max="15619"/>
    <col width="11.625" customWidth="1" style="206" min="15620" max="15620"/>
    <col width="10.4375" customWidth="1" style="206" min="15621" max="15621"/>
    <col width="8.1875" customWidth="1" style="206" min="15622" max="15622"/>
    <col width="7.875" customWidth="1" style="206" min="15623" max="15623"/>
    <col width="4.125" customWidth="1" style="206" min="15624" max="15624"/>
    <col width="9" customWidth="1" style="206" min="15625" max="15625"/>
    <col width="9.5" customWidth="1" style="206" min="15626" max="15626"/>
    <col width="9" customWidth="1" style="206" min="15627" max="15873"/>
    <col width="10.3125" customWidth="1" style="206" min="15874" max="15874"/>
    <col width="19.8125" customWidth="1" style="206" min="15875" max="15875"/>
    <col width="11.625" customWidth="1" style="206" min="15876" max="15876"/>
    <col width="10.4375" customWidth="1" style="206" min="15877" max="15877"/>
    <col width="8.1875" customWidth="1" style="206" min="15878" max="15878"/>
    <col width="7.875" customWidth="1" style="206" min="15879" max="15879"/>
    <col width="4.125" customWidth="1" style="206" min="15880" max="15880"/>
    <col width="9" customWidth="1" style="206" min="15881" max="15881"/>
    <col width="9.5" customWidth="1" style="206" min="15882" max="15882"/>
    <col width="9" customWidth="1" style="206" min="15883" max="16129"/>
    <col width="10.3125" customWidth="1" style="206" min="16130" max="16130"/>
    <col width="19.8125" customWidth="1" style="206" min="16131" max="16131"/>
    <col width="11.625" customWidth="1" style="206" min="16132" max="16132"/>
    <col width="10.4375" customWidth="1" style="206" min="16133" max="16133"/>
    <col width="8.1875" customWidth="1" style="206" min="16134" max="16134"/>
    <col width="7.875" customWidth="1" style="206" min="16135" max="16135"/>
    <col width="4.125" customWidth="1" style="206" min="16136" max="16136"/>
    <col width="9" customWidth="1" style="206" min="16137" max="16137"/>
    <col width="9.5" customWidth="1" style="206" min="16138" max="16138"/>
    <col width="9" customWidth="1" style="206" min="16139" max="16384"/>
  </cols>
  <sheetData>
    <row r="1" ht="28.25" customFormat="1" customHeight="1" s="279">
      <c r="A1" s="280" t="inlineStr">
        <is>
          <t>Comp. No.</t>
        </is>
      </c>
      <c r="B1" s="280" t="inlineStr">
        <is>
          <t>Date</t>
        </is>
      </c>
      <c r="C1" s="280" t="inlineStr">
        <is>
          <t>Address</t>
        </is>
      </c>
      <c r="D1" s="280" t="inlineStr">
        <is>
          <t>City</t>
        </is>
      </c>
      <c r="E1" s="280" t="inlineStr">
        <is>
          <t>County</t>
        </is>
      </c>
      <c r="F1" s="280" t="inlineStr">
        <is>
          <t>Sales Price</t>
        </is>
      </c>
      <c r="G1" s="280" t="inlineStr">
        <is>
          <t>Bldg. SF</t>
        </is>
      </c>
      <c r="H1" s="280" t="inlineStr">
        <is>
          <t>Unadjusted Price Per SF</t>
        </is>
      </c>
      <c r="I1" s="280" t="inlineStr">
        <is>
          <t>Comparison to Subject</t>
        </is>
      </c>
      <c r="J1" s="280" t="inlineStr">
        <is>
          <t>Adjusted Price Per SF</t>
        </is>
      </c>
      <c r="L1" s="280" t="inlineStr">
        <is>
          <t>NOI</t>
        </is>
      </c>
      <c r="M1" s="280" t="inlineStr">
        <is>
          <t>OAR</t>
        </is>
      </c>
      <c r="Q1" s="279" t="n">
        <v>750</v>
      </c>
    </row>
    <row r="2" ht="22.5" customHeight="1" s="669">
      <c r="A2" s="209" t="n">
        <v>7</v>
      </c>
      <c r="B2" s="208" t="n">
        <v>45089</v>
      </c>
      <c r="C2" s="209" t="inlineStr">
        <is>
          <t>903 E. Hanna Ave.</t>
        </is>
      </c>
      <c r="D2" s="209" t="inlineStr">
        <is>
          <t>Indianapolis</t>
        </is>
      </c>
      <c r="E2" s="209" t="inlineStr">
        <is>
          <t>Marion</t>
        </is>
      </c>
      <c r="F2" s="737" t="n">
        <v>740000</v>
      </c>
      <c r="G2" s="211" t="n">
        <v>2610</v>
      </c>
      <c r="H2" s="738">
        <f>F2/G2</f>
        <v/>
      </c>
      <c r="I2" s="209" t="inlineStr">
        <is>
          <t>Inferior</t>
        </is>
      </c>
      <c r="J2" s="738" t="n">
        <v>298.97</v>
      </c>
      <c r="L2" s="738" t="n">
        <v>0</v>
      </c>
      <c r="M2" s="346">
        <f>L2/F2</f>
        <v/>
      </c>
      <c r="O2" s="739">
        <f>(G2/$G$5)-1</f>
        <v/>
      </c>
      <c r="P2" s="304">
        <f>(G2-$G$5)</f>
        <v/>
      </c>
      <c r="Q2" s="305">
        <f>P2/$Q$1</f>
        <v/>
      </c>
      <c r="R2" s="306">
        <f>Q2*0.05</f>
        <v/>
      </c>
      <c r="S2" s="206" t="n">
        <v>-5</v>
      </c>
    </row>
    <row r="3">
      <c r="A3" s="273" t="n">
        <v>2</v>
      </c>
      <c r="B3" s="274" t="inlineStr">
        <is>
          <t>AUTO:address</t>
        </is>
      </c>
      <c r="C3" s="273" t="inlineStr">
        <is>
          <t>1309 E. Stop 11 Rd.</t>
        </is>
      </c>
      <c r="D3" s="273" t="n"/>
      <c r="E3" s="273" t="n"/>
      <c r="F3" s="740" t="n"/>
      <c r="G3" s="276" t="n"/>
      <c r="H3" s="741" t="n"/>
      <c r="I3" s="273" t="n"/>
      <c r="J3" s="741" t="n"/>
      <c r="L3" s="738" t="n"/>
      <c r="M3" s="346" t="n"/>
      <c r="O3" s="739" t="n"/>
      <c r="P3" s="304" t="n"/>
      <c r="Q3" s="305" t="n"/>
      <c r="R3" s="306" t="n"/>
      <c r="S3" s="206" t="n"/>
    </row>
    <row r="4">
      <c r="A4" s="209" t="n">
        <v>4</v>
      </c>
      <c r="B4" s="208" t="inlineStr">
        <is>
          <t>AUTO:citystate</t>
        </is>
      </c>
      <c r="C4" s="209" t="inlineStr">
        <is>
          <t>1414 W. Thompson Road</t>
        </is>
      </c>
      <c r="D4" s="209" t="n"/>
      <c r="E4" s="209" t="n"/>
      <c r="F4" s="737" t="n"/>
      <c r="G4" s="211" t="n"/>
      <c r="H4" s="738" t="n"/>
      <c r="I4" s="209" t="n"/>
      <c r="J4" s="738" t="n"/>
      <c r="L4" s="738" t="n"/>
      <c r="M4" s="346" t="n"/>
      <c r="O4" s="739" t="n"/>
      <c r="P4" s="304" t="n"/>
      <c r="Q4" s="305" t="n"/>
      <c r="R4" s="306" t="n"/>
      <c r="S4" s="206" t="n"/>
    </row>
    <row r="5" customFormat="1" s="218">
      <c r="A5" s="214" t="inlineStr">
        <is>
          <t>S</t>
        </is>
      </c>
      <c r="B5" s="214" t="inlineStr">
        <is>
          <t>AUTO:county</t>
        </is>
      </c>
      <c r="C5" s="214" t="inlineStr">
        <is>
          <t>8241 US 31 S</t>
        </is>
      </c>
      <c r="D5" s="214" t="n"/>
      <c r="E5" s="214" t="n"/>
      <c r="F5" s="742" t="n"/>
      <c r="G5" s="282" t="n"/>
      <c r="H5" s="743" t="n"/>
      <c r="I5" s="214" t="n"/>
      <c r="J5" s="743" t="n"/>
      <c r="L5" s="738" t="n"/>
      <c r="M5" s="346" t="n"/>
      <c r="O5" s="739" t="n"/>
      <c r="P5" s="304" t="n"/>
      <c r="Q5" s="305" t="n"/>
      <c r="R5" s="306" t="n"/>
      <c r="S5" s="218" t="n"/>
    </row>
    <row r="6">
      <c r="A6" s="209" t="n">
        <v>1</v>
      </c>
      <c r="B6" s="208" t="n">
        <v>45761</v>
      </c>
      <c r="C6" s="209" t="inlineStr">
        <is>
          <t>1301 E. Stop 11 Rd.</t>
        </is>
      </c>
      <c r="D6" s="209" t="n"/>
      <c r="E6" s="209" t="n"/>
      <c r="F6" s="737" t="n"/>
      <c r="G6" s="211" t="n"/>
      <c r="H6" s="738" t="n"/>
      <c r="I6" s="209" t="n"/>
      <c r="J6" s="738" t="n"/>
      <c r="L6" s="738" t="n"/>
      <c r="M6" s="346" t="n"/>
      <c r="O6" s="739" t="n"/>
      <c r="P6" s="304" t="n"/>
      <c r="Q6" s="305" t="n"/>
      <c r="R6" s="306" t="n"/>
      <c r="S6" s="206" t="n"/>
    </row>
    <row r="7">
      <c r="A7" s="209" t="n">
        <v>6</v>
      </c>
      <c r="B7" s="209" t="inlineStr">
        <is>
          <t>ACT</t>
        </is>
      </c>
      <c r="C7" s="209" t="inlineStr">
        <is>
          <t>2415 N. National Road</t>
        </is>
      </c>
      <c r="D7" s="209" t="n"/>
      <c r="E7" s="209" t="n"/>
      <c r="F7" s="737" t="n"/>
      <c r="G7" s="211" t="n"/>
      <c r="H7" s="738" t="n"/>
      <c r="I7" s="209" t="n"/>
      <c r="J7" s="738" t="n"/>
      <c r="L7" s="738" t="n"/>
      <c r="M7" s="346" t="n"/>
      <c r="O7" s="739" t="n"/>
      <c r="P7" s="304" t="n"/>
      <c r="Q7" s="305" t="n"/>
      <c r="R7" s="306" t="n"/>
      <c r="S7" s="206" t="n"/>
    </row>
    <row r="8">
      <c r="A8" s="209" t="n">
        <v>3</v>
      </c>
      <c r="B8" s="208" t="n">
        <v>45729</v>
      </c>
      <c r="C8" s="209" t="inlineStr">
        <is>
          <t>7910 U.S. Highway 31 S</t>
        </is>
      </c>
      <c r="D8" s="209" t="n"/>
      <c r="E8" s="209" t="n"/>
      <c r="F8" s="737" t="n"/>
      <c r="G8" s="211" t="n"/>
      <c r="H8" s="738" t="n"/>
      <c r="I8" s="209" t="n"/>
      <c r="J8" s="738" t="n"/>
      <c r="L8" s="738" t="n"/>
      <c r="M8" s="346" t="n"/>
      <c r="O8" s="739" t="n"/>
      <c r="P8" s="304" t="n"/>
      <c r="Q8" s="305" t="n"/>
      <c r="R8" s="306" t="n"/>
      <c r="S8" s="206" t="n"/>
    </row>
    <row r="9">
      <c r="A9" s="209" t="n">
        <v>5</v>
      </c>
      <c r="B9" s="208" t="n">
        <v>45778</v>
      </c>
      <c r="C9" s="209" t="inlineStr">
        <is>
          <t>1293 N. State Road 135</t>
        </is>
      </c>
      <c r="D9" s="209" t="n"/>
      <c r="E9" s="209" t="n"/>
      <c r="F9" s="737" t="n"/>
      <c r="G9" s="211" t="n"/>
      <c r="H9" s="738" t="n"/>
      <c r="I9" s="209" t="n"/>
      <c r="J9" s="738" t="n"/>
      <c r="L9" s="738" t="n"/>
      <c r="M9" s="346" t="n"/>
      <c r="O9" s="739" t="n"/>
      <c r="P9" s="304" t="n"/>
      <c r="Q9" s="305" t="n"/>
      <c r="R9" s="306" t="n"/>
      <c r="S9" s="206" t="n"/>
    </row>
    <row r="10">
      <c r="L10" s="738" t="n"/>
      <c r="M10" s="346" t="n"/>
    </row>
    <row r="11" customFormat="1" s="218">
      <c r="A11" s="214" t="n"/>
      <c r="B11" s="214" t="n"/>
      <c r="C11" s="214" t="inlineStr">
        <is>
          <t>AVERAGES</t>
        </is>
      </c>
      <c r="D11" s="214" t="n"/>
      <c r="E11" s="214" t="n"/>
      <c r="F11" s="744" t="n"/>
      <c r="G11" s="278" t="n"/>
      <c r="H11" s="745" t="n"/>
      <c r="I11" s="745" t="n"/>
      <c r="J11" s="745" t="n"/>
      <c r="L11" s="738" t="n"/>
      <c r="M11" s="346" t="n"/>
    </row>
    <row r="12">
      <c r="F12" s="746" t="n"/>
    </row>
    <row r="15">
      <c r="D15" s="892" t="inlineStr">
        <is>
          <t>Equal</t>
        </is>
      </c>
      <c r="E15" s="892" t="n">
        <v>0</v>
      </c>
      <c r="F15" s="892" t="inlineStr">
        <is>
          <t>Equal</t>
        </is>
      </c>
      <c r="G15" s="892" t="n">
        <v>0</v>
      </c>
      <c r="H15" s="892" t="inlineStr">
        <is>
          <t>Equal</t>
        </is>
      </c>
      <c r="I15" s="892" t="n">
        <v>0</v>
      </c>
      <c r="J15" s="892" t="inlineStr">
        <is>
          <t>Equal</t>
        </is>
      </c>
      <c r="K15" s="892" t="n">
        <v>0</v>
      </c>
      <c r="L15" s="892" t="inlineStr">
        <is>
          <t>Equal</t>
        </is>
      </c>
      <c r="M15" s="892" t="n">
        <v>0</v>
      </c>
      <c r="N15" s="892" t="inlineStr">
        <is>
          <t>Equal</t>
        </is>
      </c>
      <c r="O15" s="892" t="n">
        <v>0</v>
      </c>
      <c r="P15" s="892" t="inlineStr">
        <is>
          <t>Equal</t>
        </is>
      </c>
      <c r="Q15" s="892" t="n">
        <v>0</v>
      </c>
      <c r="R15" s="892" t="inlineStr">
        <is>
          <t>Equal</t>
        </is>
      </c>
      <c r="S15" s="892" t="n">
        <v>0</v>
      </c>
    </row>
    <row r="17">
      <c r="A17" s="209" t="n">
        <v>7</v>
      </c>
      <c r="B17" s="209" t="inlineStr">
        <is>
          <t>ACT</t>
        </is>
      </c>
      <c r="C17" s="209" t="inlineStr">
        <is>
          <t>7551 U.S. 31 S</t>
        </is>
      </c>
      <c r="D17" s="209" t="inlineStr">
        <is>
          <t>Indianapolis</t>
        </is>
      </c>
      <c r="E17" s="209" t="inlineStr">
        <is>
          <t>Marion</t>
        </is>
      </c>
      <c r="F17" s="737" t="n">
        <v>1600000</v>
      </c>
      <c r="G17" s="211" t="n">
        <v>5688</v>
      </c>
      <c r="H17" s="738">
        <f>F17/G17</f>
        <v/>
      </c>
      <c r="I17" s="209" t="inlineStr">
        <is>
          <t>Inferior</t>
        </is>
      </c>
      <c r="J17" s="738" t="n">
        <v>293.95</v>
      </c>
      <c r="L17" s="738">
        <f>S17/T17</f>
        <v/>
      </c>
      <c r="M17" s="738" t="n">
        <v>293.95</v>
      </c>
      <c r="O17" s="739">
        <f>(G17/$G$5)-1</f>
        <v/>
      </c>
      <c r="P17" s="304">
        <f>(G17-$G$5)</f>
        <v/>
      </c>
      <c r="Q17" s="305">
        <f>P17/$Q$1</f>
        <v/>
      </c>
      <c r="R17" s="306">
        <f>Q17*0.05</f>
        <v/>
      </c>
      <c r="S17" s="206" t="n">
        <v>15</v>
      </c>
    </row>
    <row r="18">
      <c r="D18" s="892" t="inlineStr">
        <is>
          <t>Equal</t>
        </is>
      </c>
      <c r="E18" s="892" t="n">
        <v>0</v>
      </c>
      <c r="F18" s="892" t="inlineStr">
        <is>
          <t>Equal</t>
        </is>
      </c>
      <c r="G18" s="892" t="n">
        <v>0</v>
      </c>
      <c r="H18" s="892" t="inlineStr">
        <is>
          <t>Equal</t>
        </is>
      </c>
      <c r="I18" s="892" t="n">
        <v>0</v>
      </c>
      <c r="J18" s="892" t="inlineStr">
        <is>
          <t>Equal</t>
        </is>
      </c>
      <c r="K18" s="892" t="n">
        <v>0</v>
      </c>
      <c r="L18" s="892" t="inlineStr">
        <is>
          <t>Equal</t>
        </is>
      </c>
      <c r="M18" s="892" t="n">
        <v>0</v>
      </c>
      <c r="N18" s="892" t="inlineStr">
        <is>
          <t>Equal</t>
        </is>
      </c>
      <c r="O18" s="892" t="n">
        <v>0</v>
      </c>
      <c r="P18" s="892" t="inlineStr">
        <is>
          <t>Equal</t>
        </is>
      </c>
      <c r="Q18" s="892" t="n">
        <v>0</v>
      </c>
      <c r="R18" s="892" t="inlineStr">
        <is>
          <t>Equal</t>
        </is>
      </c>
      <c r="S18" s="892" t="n">
        <v>0</v>
      </c>
    </row>
    <row r="21">
      <c r="D21" s="892" t="inlineStr">
        <is>
          <t>Equal</t>
        </is>
      </c>
      <c r="E21" s="892" t="n">
        <v>0</v>
      </c>
      <c r="F21" s="892" t="inlineStr">
        <is>
          <t>Equal</t>
        </is>
      </c>
      <c r="G21" s="892" t="n">
        <v>0</v>
      </c>
      <c r="H21" s="892" t="inlineStr">
        <is>
          <t>Equal</t>
        </is>
      </c>
      <c r="I21" s="892" t="n">
        <v>0</v>
      </c>
      <c r="J21" s="892" t="inlineStr">
        <is>
          <t>Equal</t>
        </is>
      </c>
      <c r="K21" s="892" t="n">
        <v>0</v>
      </c>
      <c r="L21" s="892" t="inlineStr">
        <is>
          <t>Equal</t>
        </is>
      </c>
      <c r="M21" s="892" t="n">
        <v>0</v>
      </c>
      <c r="N21" s="892" t="inlineStr">
        <is>
          <t>Equal</t>
        </is>
      </c>
      <c r="O21" s="892" t="n">
        <v>0</v>
      </c>
      <c r="P21" s="892" t="inlineStr">
        <is>
          <t>Equal</t>
        </is>
      </c>
      <c r="Q21" s="892" t="n">
        <v>0</v>
      </c>
      <c r="R21" s="892" t="inlineStr">
        <is>
          <t>Equal</t>
        </is>
      </c>
      <c r="S21" s="892" t="n">
        <v>0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Z33"/>
  <sheetViews>
    <sheetView showGridLines="0" zoomScale="80" workbookViewId="0">
      <selection activeCell="G33" sqref="G33"/>
    </sheetView>
  </sheetViews>
  <sheetFormatPr baseColWidth="8" defaultRowHeight="13.9"/>
  <cols>
    <col width="26" customWidth="1" style="113" min="1" max="1"/>
    <col width="16.875" customWidth="1" style="113" min="2" max="2"/>
    <col width="4.75" customWidth="1" style="113" min="3" max="3"/>
    <col width="9" customWidth="1" style="113" min="4" max="4"/>
    <col width="9.75" customWidth="1" style="113" min="5" max="5"/>
    <col width="10" customWidth="1" style="113" min="6" max="6"/>
    <col width="9.5" customWidth="1" style="113" min="7" max="7"/>
    <col width="9.75" customWidth="1" style="113" min="8" max="8"/>
    <col width="8.875" customWidth="1" style="113" min="9" max="9"/>
    <col width="8" customWidth="1" style="113" min="10" max="10"/>
    <col width="9" customWidth="1" style="113" min="11" max="11"/>
    <col width="9.125" customWidth="1" style="113" min="12" max="12"/>
    <col width="10.375" customWidth="1" style="113" min="13" max="13"/>
    <col width="10.875" customWidth="1" style="113" min="14" max="14"/>
    <col width="9" customWidth="1" style="113" min="15" max="15"/>
    <col width="11.875" customWidth="1" style="113" min="16" max="16"/>
    <col width="10.25" customWidth="1" style="113" min="17" max="17"/>
    <col width="11.875" customWidth="1" style="113" min="18" max="18"/>
    <col width="9" customWidth="1" style="113" min="19" max="19"/>
    <col width="11.875" customWidth="1" style="113" min="20" max="20"/>
    <col width="9" customWidth="1" style="113" min="21" max="21"/>
    <col width="11.875" customWidth="1" style="113" min="22" max="22"/>
    <col width="9" customWidth="1" style="113" min="23" max="23"/>
    <col width="11.875" customWidth="1" style="113" min="24" max="24"/>
    <col width="9" customWidth="1" style="113" min="25" max="25"/>
    <col width="11.875" customWidth="1" style="113" min="26" max="26"/>
    <col width="9" customWidth="1" style="113" min="27" max="259"/>
    <col width="26" customWidth="1" style="113" min="260" max="260"/>
    <col width="10" customWidth="1" style="113" min="261" max="261"/>
    <col width="4.75" customWidth="1" style="113" min="262" max="262"/>
    <col width="9" customWidth="1" style="113" min="263" max="263"/>
    <col width="9.75" customWidth="1" style="113" min="264" max="264"/>
    <col width="10" customWidth="1" style="113" min="265" max="265"/>
    <col width="8.25" customWidth="1" style="113" min="266" max="266"/>
    <col width="8.375" customWidth="1" style="113" min="267" max="267"/>
    <col width="9" customWidth="1" style="113" min="268" max="273"/>
    <col width="10.875" customWidth="1" style="113" min="274" max="274"/>
    <col width="9" customWidth="1" style="113" min="275" max="515"/>
    <col width="26" customWidth="1" style="113" min="516" max="516"/>
    <col width="10" customWidth="1" style="113" min="517" max="517"/>
    <col width="4.75" customWidth="1" style="113" min="518" max="518"/>
    <col width="9" customWidth="1" style="113" min="519" max="519"/>
    <col width="9.75" customWidth="1" style="113" min="520" max="520"/>
    <col width="10" customWidth="1" style="113" min="521" max="521"/>
    <col width="8.25" customWidth="1" style="113" min="522" max="522"/>
    <col width="8.375" customWidth="1" style="113" min="523" max="523"/>
    <col width="9" customWidth="1" style="113" min="524" max="529"/>
    <col width="10.875" customWidth="1" style="113" min="530" max="530"/>
    <col width="9" customWidth="1" style="113" min="531" max="771"/>
    <col width="26" customWidth="1" style="113" min="772" max="772"/>
    <col width="10" customWidth="1" style="113" min="773" max="773"/>
    <col width="4.75" customWidth="1" style="113" min="774" max="774"/>
    <col width="9" customWidth="1" style="113" min="775" max="775"/>
    <col width="9.75" customWidth="1" style="113" min="776" max="776"/>
    <col width="10" customWidth="1" style="113" min="777" max="777"/>
    <col width="8.25" customWidth="1" style="113" min="778" max="778"/>
    <col width="8.375" customWidth="1" style="113" min="779" max="779"/>
    <col width="9" customWidth="1" style="113" min="780" max="785"/>
    <col width="10.875" customWidth="1" style="113" min="786" max="786"/>
    <col width="9" customWidth="1" style="113" min="787" max="1027"/>
    <col width="26" customWidth="1" style="113" min="1028" max="1028"/>
    <col width="10" customWidth="1" style="113" min="1029" max="1029"/>
    <col width="4.75" customWidth="1" style="113" min="1030" max="1030"/>
    <col width="9" customWidth="1" style="113" min="1031" max="1031"/>
    <col width="9.75" customWidth="1" style="113" min="1032" max="1032"/>
    <col width="10" customWidth="1" style="113" min="1033" max="1033"/>
    <col width="8.25" customWidth="1" style="113" min="1034" max="1034"/>
    <col width="8.375" customWidth="1" style="113" min="1035" max="1035"/>
    <col width="9" customWidth="1" style="113" min="1036" max="1041"/>
    <col width="10.875" customWidth="1" style="113" min="1042" max="1042"/>
    <col width="9" customWidth="1" style="113" min="1043" max="1283"/>
    <col width="26" customWidth="1" style="113" min="1284" max="1284"/>
    <col width="10" customWidth="1" style="113" min="1285" max="1285"/>
    <col width="4.75" customWidth="1" style="113" min="1286" max="1286"/>
    <col width="9" customWidth="1" style="113" min="1287" max="1287"/>
    <col width="9.75" customWidth="1" style="113" min="1288" max="1288"/>
    <col width="10" customWidth="1" style="113" min="1289" max="1289"/>
    <col width="8.25" customWidth="1" style="113" min="1290" max="1290"/>
    <col width="8.375" customWidth="1" style="113" min="1291" max="1291"/>
    <col width="9" customWidth="1" style="113" min="1292" max="1297"/>
    <col width="10.875" customWidth="1" style="113" min="1298" max="1298"/>
    <col width="9" customWidth="1" style="113" min="1299" max="1539"/>
    <col width="26" customWidth="1" style="113" min="1540" max="1540"/>
    <col width="10" customWidth="1" style="113" min="1541" max="1541"/>
    <col width="4.75" customWidth="1" style="113" min="1542" max="1542"/>
    <col width="9" customWidth="1" style="113" min="1543" max="1543"/>
    <col width="9.75" customWidth="1" style="113" min="1544" max="1544"/>
    <col width="10" customWidth="1" style="113" min="1545" max="1545"/>
    <col width="8.25" customWidth="1" style="113" min="1546" max="1546"/>
    <col width="8.375" customWidth="1" style="113" min="1547" max="1547"/>
    <col width="9" customWidth="1" style="113" min="1548" max="1553"/>
    <col width="10.875" customWidth="1" style="113" min="1554" max="1554"/>
    <col width="9" customWidth="1" style="113" min="1555" max="1795"/>
    <col width="26" customWidth="1" style="113" min="1796" max="1796"/>
    <col width="10" customWidth="1" style="113" min="1797" max="1797"/>
    <col width="4.75" customWidth="1" style="113" min="1798" max="1798"/>
    <col width="9" customWidth="1" style="113" min="1799" max="1799"/>
    <col width="9.75" customWidth="1" style="113" min="1800" max="1800"/>
    <col width="10" customWidth="1" style="113" min="1801" max="1801"/>
    <col width="8.25" customWidth="1" style="113" min="1802" max="1802"/>
    <col width="8.375" customWidth="1" style="113" min="1803" max="1803"/>
    <col width="9" customWidth="1" style="113" min="1804" max="1809"/>
    <col width="10.875" customWidth="1" style="113" min="1810" max="1810"/>
    <col width="9" customWidth="1" style="113" min="1811" max="2051"/>
    <col width="26" customWidth="1" style="113" min="2052" max="2052"/>
    <col width="10" customWidth="1" style="113" min="2053" max="2053"/>
    <col width="4.75" customWidth="1" style="113" min="2054" max="2054"/>
    <col width="9" customWidth="1" style="113" min="2055" max="2055"/>
    <col width="9.75" customWidth="1" style="113" min="2056" max="2056"/>
    <col width="10" customWidth="1" style="113" min="2057" max="2057"/>
    <col width="8.25" customWidth="1" style="113" min="2058" max="2058"/>
    <col width="8.375" customWidth="1" style="113" min="2059" max="2059"/>
    <col width="9" customWidth="1" style="113" min="2060" max="2065"/>
    <col width="10.875" customWidth="1" style="113" min="2066" max="2066"/>
    <col width="9" customWidth="1" style="113" min="2067" max="2307"/>
    <col width="26" customWidth="1" style="113" min="2308" max="2308"/>
    <col width="10" customWidth="1" style="113" min="2309" max="2309"/>
    <col width="4.75" customWidth="1" style="113" min="2310" max="2310"/>
    <col width="9" customWidth="1" style="113" min="2311" max="2311"/>
    <col width="9.75" customWidth="1" style="113" min="2312" max="2312"/>
    <col width="10" customWidth="1" style="113" min="2313" max="2313"/>
    <col width="8.25" customWidth="1" style="113" min="2314" max="2314"/>
    <col width="8.375" customWidth="1" style="113" min="2315" max="2315"/>
    <col width="9" customWidth="1" style="113" min="2316" max="2321"/>
    <col width="10.875" customWidth="1" style="113" min="2322" max="2322"/>
    <col width="9" customWidth="1" style="113" min="2323" max="2563"/>
    <col width="26" customWidth="1" style="113" min="2564" max="2564"/>
    <col width="10" customWidth="1" style="113" min="2565" max="2565"/>
    <col width="4.75" customWidth="1" style="113" min="2566" max="2566"/>
    <col width="9" customWidth="1" style="113" min="2567" max="2567"/>
    <col width="9.75" customWidth="1" style="113" min="2568" max="2568"/>
    <col width="10" customWidth="1" style="113" min="2569" max="2569"/>
    <col width="8.25" customWidth="1" style="113" min="2570" max="2570"/>
    <col width="8.375" customWidth="1" style="113" min="2571" max="2571"/>
    <col width="9" customWidth="1" style="113" min="2572" max="2577"/>
    <col width="10.875" customWidth="1" style="113" min="2578" max="2578"/>
    <col width="9" customWidth="1" style="113" min="2579" max="2819"/>
    <col width="26" customWidth="1" style="113" min="2820" max="2820"/>
    <col width="10" customWidth="1" style="113" min="2821" max="2821"/>
    <col width="4.75" customWidth="1" style="113" min="2822" max="2822"/>
    <col width="9" customWidth="1" style="113" min="2823" max="2823"/>
    <col width="9.75" customWidth="1" style="113" min="2824" max="2824"/>
    <col width="10" customWidth="1" style="113" min="2825" max="2825"/>
    <col width="8.25" customWidth="1" style="113" min="2826" max="2826"/>
    <col width="8.375" customWidth="1" style="113" min="2827" max="2827"/>
    <col width="9" customWidth="1" style="113" min="2828" max="2833"/>
    <col width="10.875" customWidth="1" style="113" min="2834" max="2834"/>
    <col width="9" customWidth="1" style="113" min="2835" max="3075"/>
    <col width="26" customWidth="1" style="113" min="3076" max="3076"/>
    <col width="10" customWidth="1" style="113" min="3077" max="3077"/>
    <col width="4.75" customWidth="1" style="113" min="3078" max="3078"/>
    <col width="9" customWidth="1" style="113" min="3079" max="3079"/>
    <col width="9.75" customWidth="1" style="113" min="3080" max="3080"/>
    <col width="10" customWidth="1" style="113" min="3081" max="3081"/>
    <col width="8.25" customWidth="1" style="113" min="3082" max="3082"/>
    <col width="8.375" customWidth="1" style="113" min="3083" max="3083"/>
    <col width="9" customWidth="1" style="113" min="3084" max="3089"/>
    <col width="10.875" customWidth="1" style="113" min="3090" max="3090"/>
    <col width="9" customWidth="1" style="113" min="3091" max="3331"/>
    <col width="26" customWidth="1" style="113" min="3332" max="3332"/>
    <col width="10" customWidth="1" style="113" min="3333" max="3333"/>
    <col width="4.75" customWidth="1" style="113" min="3334" max="3334"/>
    <col width="9" customWidth="1" style="113" min="3335" max="3335"/>
    <col width="9.75" customWidth="1" style="113" min="3336" max="3336"/>
    <col width="10" customWidth="1" style="113" min="3337" max="3337"/>
    <col width="8.25" customWidth="1" style="113" min="3338" max="3338"/>
    <col width="8.375" customWidth="1" style="113" min="3339" max="3339"/>
    <col width="9" customWidth="1" style="113" min="3340" max="3345"/>
    <col width="10.875" customWidth="1" style="113" min="3346" max="3346"/>
    <col width="9" customWidth="1" style="113" min="3347" max="3587"/>
    <col width="26" customWidth="1" style="113" min="3588" max="3588"/>
    <col width="10" customWidth="1" style="113" min="3589" max="3589"/>
    <col width="4.75" customWidth="1" style="113" min="3590" max="3590"/>
    <col width="9" customWidth="1" style="113" min="3591" max="3591"/>
    <col width="9.75" customWidth="1" style="113" min="3592" max="3592"/>
    <col width="10" customWidth="1" style="113" min="3593" max="3593"/>
    <col width="8.25" customWidth="1" style="113" min="3594" max="3594"/>
    <col width="8.375" customWidth="1" style="113" min="3595" max="3595"/>
    <col width="9" customWidth="1" style="113" min="3596" max="3601"/>
    <col width="10.875" customWidth="1" style="113" min="3602" max="3602"/>
    <col width="9" customWidth="1" style="113" min="3603" max="3843"/>
    <col width="26" customWidth="1" style="113" min="3844" max="3844"/>
    <col width="10" customWidth="1" style="113" min="3845" max="3845"/>
    <col width="4.75" customWidth="1" style="113" min="3846" max="3846"/>
    <col width="9" customWidth="1" style="113" min="3847" max="3847"/>
    <col width="9.75" customWidth="1" style="113" min="3848" max="3848"/>
    <col width="10" customWidth="1" style="113" min="3849" max="3849"/>
    <col width="8.25" customWidth="1" style="113" min="3850" max="3850"/>
    <col width="8.375" customWidth="1" style="113" min="3851" max="3851"/>
    <col width="9" customWidth="1" style="113" min="3852" max="3857"/>
    <col width="10.875" customWidth="1" style="113" min="3858" max="3858"/>
    <col width="9" customWidth="1" style="113" min="3859" max="4099"/>
    <col width="26" customWidth="1" style="113" min="4100" max="4100"/>
    <col width="10" customWidth="1" style="113" min="4101" max="4101"/>
    <col width="4.75" customWidth="1" style="113" min="4102" max="4102"/>
    <col width="9" customWidth="1" style="113" min="4103" max="4103"/>
    <col width="9.75" customWidth="1" style="113" min="4104" max="4104"/>
    <col width="10" customWidth="1" style="113" min="4105" max="4105"/>
    <col width="8.25" customWidth="1" style="113" min="4106" max="4106"/>
    <col width="8.375" customWidth="1" style="113" min="4107" max="4107"/>
    <col width="9" customWidth="1" style="113" min="4108" max="4113"/>
    <col width="10.875" customWidth="1" style="113" min="4114" max="4114"/>
    <col width="9" customWidth="1" style="113" min="4115" max="4355"/>
    <col width="26" customWidth="1" style="113" min="4356" max="4356"/>
    <col width="10" customWidth="1" style="113" min="4357" max="4357"/>
    <col width="4.75" customWidth="1" style="113" min="4358" max="4358"/>
    <col width="9" customWidth="1" style="113" min="4359" max="4359"/>
    <col width="9.75" customWidth="1" style="113" min="4360" max="4360"/>
    <col width="10" customWidth="1" style="113" min="4361" max="4361"/>
    <col width="8.25" customWidth="1" style="113" min="4362" max="4362"/>
    <col width="8.375" customWidth="1" style="113" min="4363" max="4363"/>
    <col width="9" customWidth="1" style="113" min="4364" max="4369"/>
    <col width="10.875" customWidth="1" style="113" min="4370" max="4370"/>
    <col width="9" customWidth="1" style="113" min="4371" max="4611"/>
    <col width="26" customWidth="1" style="113" min="4612" max="4612"/>
    <col width="10" customWidth="1" style="113" min="4613" max="4613"/>
    <col width="4.75" customWidth="1" style="113" min="4614" max="4614"/>
    <col width="9" customWidth="1" style="113" min="4615" max="4615"/>
    <col width="9.75" customWidth="1" style="113" min="4616" max="4616"/>
    <col width="10" customWidth="1" style="113" min="4617" max="4617"/>
    <col width="8.25" customWidth="1" style="113" min="4618" max="4618"/>
    <col width="8.375" customWidth="1" style="113" min="4619" max="4619"/>
    <col width="9" customWidth="1" style="113" min="4620" max="4625"/>
    <col width="10.875" customWidth="1" style="113" min="4626" max="4626"/>
    <col width="9" customWidth="1" style="113" min="4627" max="4867"/>
    <col width="26" customWidth="1" style="113" min="4868" max="4868"/>
    <col width="10" customWidth="1" style="113" min="4869" max="4869"/>
    <col width="4.75" customWidth="1" style="113" min="4870" max="4870"/>
    <col width="9" customWidth="1" style="113" min="4871" max="4871"/>
    <col width="9.75" customWidth="1" style="113" min="4872" max="4872"/>
    <col width="10" customWidth="1" style="113" min="4873" max="4873"/>
    <col width="8.25" customWidth="1" style="113" min="4874" max="4874"/>
    <col width="8.375" customWidth="1" style="113" min="4875" max="4875"/>
    <col width="9" customWidth="1" style="113" min="4876" max="4881"/>
    <col width="10.875" customWidth="1" style="113" min="4882" max="4882"/>
    <col width="9" customWidth="1" style="113" min="4883" max="5123"/>
    <col width="26" customWidth="1" style="113" min="5124" max="5124"/>
    <col width="10" customWidth="1" style="113" min="5125" max="5125"/>
    <col width="4.75" customWidth="1" style="113" min="5126" max="5126"/>
    <col width="9" customWidth="1" style="113" min="5127" max="5127"/>
    <col width="9.75" customWidth="1" style="113" min="5128" max="5128"/>
    <col width="10" customWidth="1" style="113" min="5129" max="5129"/>
    <col width="8.25" customWidth="1" style="113" min="5130" max="5130"/>
    <col width="8.375" customWidth="1" style="113" min="5131" max="5131"/>
    <col width="9" customWidth="1" style="113" min="5132" max="5137"/>
    <col width="10.875" customWidth="1" style="113" min="5138" max="5138"/>
    <col width="9" customWidth="1" style="113" min="5139" max="5379"/>
    <col width="26" customWidth="1" style="113" min="5380" max="5380"/>
    <col width="10" customWidth="1" style="113" min="5381" max="5381"/>
    <col width="4.75" customWidth="1" style="113" min="5382" max="5382"/>
    <col width="9" customWidth="1" style="113" min="5383" max="5383"/>
    <col width="9.75" customWidth="1" style="113" min="5384" max="5384"/>
    <col width="10" customWidth="1" style="113" min="5385" max="5385"/>
    <col width="8.25" customWidth="1" style="113" min="5386" max="5386"/>
    <col width="8.375" customWidth="1" style="113" min="5387" max="5387"/>
    <col width="9" customWidth="1" style="113" min="5388" max="5393"/>
    <col width="10.875" customWidth="1" style="113" min="5394" max="5394"/>
    <col width="9" customWidth="1" style="113" min="5395" max="5635"/>
    <col width="26" customWidth="1" style="113" min="5636" max="5636"/>
    <col width="10" customWidth="1" style="113" min="5637" max="5637"/>
    <col width="4.75" customWidth="1" style="113" min="5638" max="5638"/>
    <col width="9" customWidth="1" style="113" min="5639" max="5639"/>
    <col width="9.75" customWidth="1" style="113" min="5640" max="5640"/>
    <col width="10" customWidth="1" style="113" min="5641" max="5641"/>
    <col width="8.25" customWidth="1" style="113" min="5642" max="5642"/>
    <col width="8.375" customWidth="1" style="113" min="5643" max="5643"/>
    <col width="9" customWidth="1" style="113" min="5644" max="5649"/>
    <col width="10.875" customWidth="1" style="113" min="5650" max="5650"/>
    <col width="9" customWidth="1" style="113" min="5651" max="5891"/>
    <col width="26" customWidth="1" style="113" min="5892" max="5892"/>
    <col width="10" customWidth="1" style="113" min="5893" max="5893"/>
    <col width="4.75" customWidth="1" style="113" min="5894" max="5894"/>
    <col width="9" customWidth="1" style="113" min="5895" max="5895"/>
    <col width="9.75" customWidth="1" style="113" min="5896" max="5896"/>
    <col width="10" customWidth="1" style="113" min="5897" max="5897"/>
    <col width="8.25" customWidth="1" style="113" min="5898" max="5898"/>
    <col width="8.375" customWidth="1" style="113" min="5899" max="5899"/>
    <col width="9" customWidth="1" style="113" min="5900" max="5905"/>
    <col width="10.875" customWidth="1" style="113" min="5906" max="5906"/>
    <col width="9" customWidth="1" style="113" min="5907" max="6147"/>
    <col width="26" customWidth="1" style="113" min="6148" max="6148"/>
    <col width="10" customWidth="1" style="113" min="6149" max="6149"/>
    <col width="4.75" customWidth="1" style="113" min="6150" max="6150"/>
    <col width="9" customWidth="1" style="113" min="6151" max="6151"/>
    <col width="9.75" customWidth="1" style="113" min="6152" max="6152"/>
    <col width="10" customWidth="1" style="113" min="6153" max="6153"/>
    <col width="8.25" customWidth="1" style="113" min="6154" max="6154"/>
    <col width="8.375" customWidth="1" style="113" min="6155" max="6155"/>
    <col width="9" customWidth="1" style="113" min="6156" max="6161"/>
    <col width="10.875" customWidth="1" style="113" min="6162" max="6162"/>
    <col width="9" customWidth="1" style="113" min="6163" max="6403"/>
    <col width="26" customWidth="1" style="113" min="6404" max="6404"/>
    <col width="10" customWidth="1" style="113" min="6405" max="6405"/>
    <col width="4.75" customWidth="1" style="113" min="6406" max="6406"/>
    <col width="9" customWidth="1" style="113" min="6407" max="6407"/>
    <col width="9.75" customWidth="1" style="113" min="6408" max="6408"/>
    <col width="10" customWidth="1" style="113" min="6409" max="6409"/>
    <col width="8.25" customWidth="1" style="113" min="6410" max="6410"/>
    <col width="8.375" customWidth="1" style="113" min="6411" max="6411"/>
    <col width="9" customWidth="1" style="113" min="6412" max="6417"/>
    <col width="10.875" customWidth="1" style="113" min="6418" max="6418"/>
    <col width="9" customWidth="1" style="113" min="6419" max="6659"/>
    <col width="26" customWidth="1" style="113" min="6660" max="6660"/>
    <col width="10" customWidth="1" style="113" min="6661" max="6661"/>
    <col width="4.75" customWidth="1" style="113" min="6662" max="6662"/>
    <col width="9" customWidth="1" style="113" min="6663" max="6663"/>
    <col width="9.75" customWidth="1" style="113" min="6664" max="6664"/>
    <col width="10" customWidth="1" style="113" min="6665" max="6665"/>
    <col width="8.25" customWidth="1" style="113" min="6666" max="6666"/>
    <col width="8.375" customWidth="1" style="113" min="6667" max="6667"/>
    <col width="9" customWidth="1" style="113" min="6668" max="6673"/>
    <col width="10.875" customWidth="1" style="113" min="6674" max="6674"/>
    <col width="9" customWidth="1" style="113" min="6675" max="6915"/>
    <col width="26" customWidth="1" style="113" min="6916" max="6916"/>
    <col width="10" customWidth="1" style="113" min="6917" max="6917"/>
    <col width="4.75" customWidth="1" style="113" min="6918" max="6918"/>
    <col width="9" customWidth="1" style="113" min="6919" max="6919"/>
    <col width="9.75" customWidth="1" style="113" min="6920" max="6920"/>
    <col width="10" customWidth="1" style="113" min="6921" max="6921"/>
    <col width="8.25" customWidth="1" style="113" min="6922" max="6922"/>
    <col width="8.375" customWidth="1" style="113" min="6923" max="6923"/>
    <col width="9" customWidth="1" style="113" min="6924" max="6929"/>
    <col width="10.875" customWidth="1" style="113" min="6930" max="6930"/>
    <col width="9" customWidth="1" style="113" min="6931" max="7171"/>
    <col width="26" customWidth="1" style="113" min="7172" max="7172"/>
    <col width="10" customWidth="1" style="113" min="7173" max="7173"/>
    <col width="4.75" customWidth="1" style="113" min="7174" max="7174"/>
    <col width="9" customWidth="1" style="113" min="7175" max="7175"/>
    <col width="9.75" customWidth="1" style="113" min="7176" max="7176"/>
    <col width="10" customWidth="1" style="113" min="7177" max="7177"/>
    <col width="8.25" customWidth="1" style="113" min="7178" max="7178"/>
    <col width="8.375" customWidth="1" style="113" min="7179" max="7179"/>
    <col width="9" customWidth="1" style="113" min="7180" max="7185"/>
    <col width="10.875" customWidth="1" style="113" min="7186" max="7186"/>
    <col width="9" customWidth="1" style="113" min="7187" max="7427"/>
    <col width="26" customWidth="1" style="113" min="7428" max="7428"/>
    <col width="10" customWidth="1" style="113" min="7429" max="7429"/>
    <col width="4.75" customWidth="1" style="113" min="7430" max="7430"/>
    <col width="9" customWidth="1" style="113" min="7431" max="7431"/>
    <col width="9.75" customWidth="1" style="113" min="7432" max="7432"/>
    <col width="10" customWidth="1" style="113" min="7433" max="7433"/>
    <col width="8.25" customWidth="1" style="113" min="7434" max="7434"/>
    <col width="8.375" customWidth="1" style="113" min="7435" max="7435"/>
    <col width="9" customWidth="1" style="113" min="7436" max="7441"/>
    <col width="10.875" customWidth="1" style="113" min="7442" max="7442"/>
    <col width="9" customWidth="1" style="113" min="7443" max="7683"/>
    <col width="26" customWidth="1" style="113" min="7684" max="7684"/>
    <col width="10" customWidth="1" style="113" min="7685" max="7685"/>
    <col width="4.75" customWidth="1" style="113" min="7686" max="7686"/>
    <col width="9" customWidth="1" style="113" min="7687" max="7687"/>
    <col width="9.75" customWidth="1" style="113" min="7688" max="7688"/>
    <col width="10" customWidth="1" style="113" min="7689" max="7689"/>
    <col width="8.25" customWidth="1" style="113" min="7690" max="7690"/>
    <col width="8.375" customWidth="1" style="113" min="7691" max="7691"/>
    <col width="9" customWidth="1" style="113" min="7692" max="7697"/>
    <col width="10.875" customWidth="1" style="113" min="7698" max="7698"/>
    <col width="9" customWidth="1" style="113" min="7699" max="7939"/>
    <col width="26" customWidth="1" style="113" min="7940" max="7940"/>
    <col width="10" customWidth="1" style="113" min="7941" max="7941"/>
    <col width="4.75" customWidth="1" style="113" min="7942" max="7942"/>
    <col width="9" customWidth="1" style="113" min="7943" max="7943"/>
    <col width="9.75" customWidth="1" style="113" min="7944" max="7944"/>
    <col width="10" customWidth="1" style="113" min="7945" max="7945"/>
    <col width="8.25" customWidth="1" style="113" min="7946" max="7946"/>
    <col width="8.375" customWidth="1" style="113" min="7947" max="7947"/>
    <col width="9" customWidth="1" style="113" min="7948" max="7953"/>
    <col width="10.875" customWidth="1" style="113" min="7954" max="7954"/>
    <col width="9" customWidth="1" style="113" min="7955" max="8195"/>
    <col width="26" customWidth="1" style="113" min="8196" max="8196"/>
    <col width="10" customWidth="1" style="113" min="8197" max="8197"/>
    <col width="4.75" customWidth="1" style="113" min="8198" max="8198"/>
    <col width="9" customWidth="1" style="113" min="8199" max="8199"/>
    <col width="9.75" customWidth="1" style="113" min="8200" max="8200"/>
    <col width="10" customWidth="1" style="113" min="8201" max="8201"/>
    <col width="8.25" customWidth="1" style="113" min="8202" max="8202"/>
    <col width="8.375" customWidth="1" style="113" min="8203" max="8203"/>
    <col width="9" customWidth="1" style="113" min="8204" max="8209"/>
    <col width="10.875" customWidth="1" style="113" min="8210" max="8210"/>
    <col width="9" customWidth="1" style="113" min="8211" max="8451"/>
    <col width="26" customWidth="1" style="113" min="8452" max="8452"/>
    <col width="10" customWidth="1" style="113" min="8453" max="8453"/>
    <col width="4.75" customWidth="1" style="113" min="8454" max="8454"/>
    <col width="9" customWidth="1" style="113" min="8455" max="8455"/>
    <col width="9.75" customWidth="1" style="113" min="8456" max="8456"/>
    <col width="10" customWidth="1" style="113" min="8457" max="8457"/>
    <col width="8.25" customWidth="1" style="113" min="8458" max="8458"/>
    <col width="8.375" customWidth="1" style="113" min="8459" max="8459"/>
    <col width="9" customWidth="1" style="113" min="8460" max="8465"/>
    <col width="10.875" customWidth="1" style="113" min="8466" max="8466"/>
    <col width="9" customWidth="1" style="113" min="8467" max="8707"/>
    <col width="26" customWidth="1" style="113" min="8708" max="8708"/>
    <col width="10" customWidth="1" style="113" min="8709" max="8709"/>
    <col width="4.75" customWidth="1" style="113" min="8710" max="8710"/>
    <col width="9" customWidth="1" style="113" min="8711" max="8711"/>
    <col width="9.75" customWidth="1" style="113" min="8712" max="8712"/>
    <col width="10" customWidth="1" style="113" min="8713" max="8713"/>
    <col width="8.25" customWidth="1" style="113" min="8714" max="8714"/>
    <col width="8.375" customWidth="1" style="113" min="8715" max="8715"/>
    <col width="9" customWidth="1" style="113" min="8716" max="8721"/>
    <col width="10.875" customWidth="1" style="113" min="8722" max="8722"/>
    <col width="9" customWidth="1" style="113" min="8723" max="8963"/>
    <col width="26" customWidth="1" style="113" min="8964" max="8964"/>
    <col width="10" customWidth="1" style="113" min="8965" max="8965"/>
    <col width="4.75" customWidth="1" style="113" min="8966" max="8966"/>
    <col width="9" customWidth="1" style="113" min="8967" max="8967"/>
    <col width="9.75" customWidth="1" style="113" min="8968" max="8968"/>
    <col width="10" customWidth="1" style="113" min="8969" max="8969"/>
    <col width="8.25" customWidth="1" style="113" min="8970" max="8970"/>
    <col width="8.375" customWidth="1" style="113" min="8971" max="8971"/>
    <col width="9" customWidth="1" style="113" min="8972" max="8977"/>
    <col width="10.875" customWidth="1" style="113" min="8978" max="8978"/>
    <col width="9" customWidth="1" style="113" min="8979" max="9219"/>
    <col width="26" customWidth="1" style="113" min="9220" max="9220"/>
    <col width="10" customWidth="1" style="113" min="9221" max="9221"/>
    <col width="4.75" customWidth="1" style="113" min="9222" max="9222"/>
    <col width="9" customWidth="1" style="113" min="9223" max="9223"/>
    <col width="9.75" customWidth="1" style="113" min="9224" max="9224"/>
    <col width="10" customWidth="1" style="113" min="9225" max="9225"/>
    <col width="8.25" customWidth="1" style="113" min="9226" max="9226"/>
    <col width="8.375" customWidth="1" style="113" min="9227" max="9227"/>
    <col width="9" customWidth="1" style="113" min="9228" max="9233"/>
    <col width="10.875" customWidth="1" style="113" min="9234" max="9234"/>
    <col width="9" customWidth="1" style="113" min="9235" max="9475"/>
    <col width="26" customWidth="1" style="113" min="9476" max="9476"/>
    <col width="10" customWidth="1" style="113" min="9477" max="9477"/>
    <col width="4.75" customWidth="1" style="113" min="9478" max="9478"/>
    <col width="9" customWidth="1" style="113" min="9479" max="9479"/>
    <col width="9.75" customWidth="1" style="113" min="9480" max="9480"/>
    <col width="10" customWidth="1" style="113" min="9481" max="9481"/>
    <col width="8.25" customWidth="1" style="113" min="9482" max="9482"/>
    <col width="8.375" customWidth="1" style="113" min="9483" max="9483"/>
    <col width="9" customWidth="1" style="113" min="9484" max="9489"/>
    <col width="10.875" customWidth="1" style="113" min="9490" max="9490"/>
    <col width="9" customWidth="1" style="113" min="9491" max="9731"/>
    <col width="26" customWidth="1" style="113" min="9732" max="9732"/>
    <col width="10" customWidth="1" style="113" min="9733" max="9733"/>
    <col width="4.75" customWidth="1" style="113" min="9734" max="9734"/>
    <col width="9" customWidth="1" style="113" min="9735" max="9735"/>
    <col width="9.75" customWidth="1" style="113" min="9736" max="9736"/>
    <col width="10" customWidth="1" style="113" min="9737" max="9737"/>
    <col width="8.25" customWidth="1" style="113" min="9738" max="9738"/>
    <col width="8.375" customWidth="1" style="113" min="9739" max="9739"/>
    <col width="9" customWidth="1" style="113" min="9740" max="9745"/>
    <col width="10.875" customWidth="1" style="113" min="9746" max="9746"/>
    <col width="9" customWidth="1" style="113" min="9747" max="9987"/>
    <col width="26" customWidth="1" style="113" min="9988" max="9988"/>
    <col width="10" customWidth="1" style="113" min="9989" max="9989"/>
    <col width="4.75" customWidth="1" style="113" min="9990" max="9990"/>
    <col width="9" customWidth="1" style="113" min="9991" max="9991"/>
    <col width="9.75" customWidth="1" style="113" min="9992" max="9992"/>
    <col width="10" customWidth="1" style="113" min="9993" max="9993"/>
    <col width="8.25" customWidth="1" style="113" min="9994" max="9994"/>
    <col width="8.375" customWidth="1" style="113" min="9995" max="9995"/>
    <col width="9" customWidth="1" style="113" min="9996" max="10001"/>
    <col width="10.875" customWidth="1" style="113" min="10002" max="10002"/>
    <col width="9" customWidth="1" style="113" min="10003" max="10243"/>
    <col width="26" customWidth="1" style="113" min="10244" max="10244"/>
    <col width="10" customWidth="1" style="113" min="10245" max="10245"/>
    <col width="4.75" customWidth="1" style="113" min="10246" max="10246"/>
    <col width="9" customWidth="1" style="113" min="10247" max="10247"/>
    <col width="9.75" customWidth="1" style="113" min="10248" max="10248"/>
    <col width="10" customWidth="1" style="113" min="10249" max="10249"/>
    <col width="8.25" customWidth="1" style="113" min="10250" max="10250"/>
    <col width="8.375" customWidth="1" style="113" min="10251" max="10251"/>
    <col width="9" customWidth="1" style="113" min="10252" max="10257"/>
    <col width="10.875" customWidth="1" style="113" min="10258" max="10258"/>
    <col width="9" customWidth="1" style="113" min="10259" max="10499"/>
    <col width="26" customWidth="1" style="113" min="10500" max="10500"/>
    <col width="10" customWidth="1" style="113" min="10501" max="10501"/>
    <col width="4.75" customWidth="1" style="113" min="10502" max="10502"/>
    <col width="9" customWidth="1" style="113" min="10503" max="10503"/>
    <col width="9.75" customWidth="1" style="113" min="10504" max="10504"/>
    <col width="10" customWidth="1" style="113" min="10505" max="10505"/>
    <col width="8.25" customWidth="1" style="113" min="10506" max="10506"/>
    <col width="8.375" customWidth="1" style="113" min="10507" max="10507"/>
    <col width="9" customWidth="1" style="113" min="10508" max="10513"/>
    <col width="10.875" customWidth="1" style="113" min="10514" max="10514"/>
    <col width="9" customWidth="1" style="113" min="10515" max="10755"/>
    <col width="26" customWidth="1" style="113" min="10756" max="10756"/>
    <col width="10" customWidth="1" style="113" min="10757" max="10757"/>
    <col width="4.75" customWidth="1" style="113" min="10758" max="10758"/>
    <col width="9" customWidth="1" style="113" min="10759" max="10759"/>
    <col width="9.75" customWidth="1" style="113" min="10760" max="10760"/>
    <col width="10" customWidth="1" style="113" min="10761" max="10761"/>
    <col width="8.25" customWidth="1" style="113" min="10762" max="10762"/>
    <col width="8.375" customWidth="1" style="113" min="10763" max="10763"/>
    <col width="9" customWidth="1" style="113" min="10764" max="10769"/>
    <col width="10.875" customWidth="1" style="113" min="10770" max="10770"/>
    <col width="9" customWidth="1" style="113" min="10771" max="11011"/>
    <col width="26" customWidth="1" style="113" min="11012" max="11012"/>
    <col width="10" customWidth="1" style="113" min="11013" max="11013"/>
    <col width="4.75" customWidth="1" style="113" min="11014" max="11014"/>
    <col width="9" customWidth="1" style="113" min="11015" max="11015"/>
    <col width="9.75" customWidth="1" style="113" min="11016" max="11016"/>
    <col width="10" customWidth="1" style="113" min="11017" max="11017"/>
    <col width="8.25" customWidth="1" style="113" min="11018" max="11018"/>
    <col width="8.375" customWidth="1" style="113" min="11019" max="11019"/>
    <col width="9" customWidth="1" style="113" min="11020" max="11025"/>
    <col width="10.875" customWidth="1" style="113" min="11026" max="11026"/>
    <col width="9" customWidth="1" style="113" min="11027" max="11267"/>
    <col width="26" customWidth="1" style="113" min="11268" max="11268"/>
    <col width="10" customWidth="1" style="113" min="11269" max="11269"/>
    <col width="4.75" customWidth="1" style="113" min="11270" max="11270"/>
    <col width="9" customWidth="1" style="113" min="11271" max="11271"/>
    <col width="9.75" customWidth="1" style="113" min="11272" max="11272"/>
    <col width="10" customWidth="1" style="113" min="11273" max="11273"/>
    <col width="8.25" customWidth="1" style="113" min="11274" max="11274"/>
    <col width="8.375" customWidth="1" style="113" min="11275" max="11275"/>
    <col width="9" customWidth="1" style="113" min="11276" max="11281"/>
    <col width="10.875" customWidth="1" style="113" min="11282" max="11282"/>
    <col width="9" customWidth="1" style="113" min="11283" max="11523"/>
    <col width="26" customWidth="1" style="113" min="11524" max="11524"/>
    <col width="10" customWidth="1" style="113" min="11525" max="11525"/>
    <col width="4.75" customWidth="1" style="113" min="11526" max="11526"/>
    <col width="9" customWidth="1" style="113" min="11527" max="11527"/>
    <col width="9.75" customWidth="1" style="113" min="11528" max="11528"/>
    <col width="10" customWidth="1" style="113" min="11529" max="11529"/>
    <col width="8.25" customWidth="1" style="113" min="11530" max="11530"/>
    <col width="8.375" customWidth="1" style="113" min="11531" max="11531"/>
    <col width="9" customWidth="1" style="113" min="11532" max="11537"/>
    <col width="10.875" customWidth="1" style="113" min="11538" max="11538"/>
    <col width="9" customWidth="1" style="113" min="11539" max="11779"/>
    <col width="26" customWidth="1" style="113" min="11780" max="11780"/>
    <col width="10" customWidth="1" style="113" min="11781" max="11781"/>
    <col width="4.75" customWidth="1" style="113" min="11782" max="11782"/>
    <col width="9" customWidth="1" style="113" min="11783" max="11783"/>
    <col width="9.75" customWidth="1" style="113" min="11784" max="11784"/>
    <col width="10" customWidth="1" style="113" min="11785" max="11785"/>
    <col width="8.25" customWidth="1" style="113" min="11786" max="11786"/>
    <col width="8.375" customWidth="1" style="113" min="11787" max="11787"/>
    <col width="9" customWidth="1" style="113" min="11788" max="11793"/>
    <col width="10.875" customWidth="1" style="113" min="11794" max="11794"/>
    <col width="9" customWidth="1" style="113" min="11795" max="12035"/>
    <col width="26" customWidth="1" style="113" min="12036" max="12036"/>
    <col width="10" customWidth="1" style="113" min="12037" max="12037"/>
    <col width="4.75" customWidth="1" style="113" min="12038" max="12038"/>
    <col width="9" customWidth="1" style="113" min="12039" max="12039"/>
    <col width="9.75" customWidth="1" style="113" min="12040" max="12040"/>
    <col width="10" customWidth="1" style="113" min="12041" max="12041"/>
    <col width="8.25" customWidth="1" style="113" min="12042" max="12042"/>
    <col width="8.375" customWidth="1" style="113" min="12043" max="12043"/>
    <col width="9" customWidth="1" style="113" min="12044" max="12049"/>
    <col width="10.875" customWidth="1" style="113" min="12050" max="12050"/>
    <col width="9" customWidth="1" style="113" min="12051" max="12291"/>
    <col width="26" customWidth="1" style="113" min="12292" max="12292"/>
    <col width="10" customWidth="1" style="113" min="12293" max="12293"/>
    <col width="4.75" customWidth="1" style="113" min="12294" max="12294"/>
    <col width="9" customWidth="1" style="113" min="12295" max="12295"/>
    <col width="9.75" customWidth="1" style="113" min="12296" max="12296"/>
    <col width="10" customWidth="1" style="113" min="12297" max="12297"/>
    <col width="8.25" customWidth="1" style="113" min="12298" max="12298"/>
    <col width="8.375" customWidth="1" style="113" min="12299" max="12299"/>
    <col width="9" customWidth="1" style="113" min="12300" max="12305"/>
    <col width="10.875" customWidth="1" style="113" min="12306" max="12306"/>
    <col width="9" customWidth="1" style="113" min="12307" max="12547"/>
    <col width="26" customWidth="1" style="113" min="12548" max="12548"/>
    <col width="10" customWidth="1" style="113" min="12549" max="12549"/>
    <col width="4.75" customWidth="1" style="113" min="12550" max="12550"/>
    <col width="9" customWidth="1" style="113" min="12551" max="12551"/>
    <col width="9.75" customWidth="1" style="113" min="12552" max="12552"/>
    <col width="10" customWidth="1" style="113" min="12553" max="12553"/>
    <col width="8.25" customWidth="1" style="113" min="12554" max="12554"/>
    <col width="8.375" customWidth="1" style="113" min="12555" max="12555"/>
    <col width="9" customWidth="1" style="113" min="12556" max="12561"/>
    <col width="10.875" customWidth="1" style="113" min="12562" max="12562"/>
    <col width="9" customWidth="1" style="113" min="12563" max="12803"/>
    <col width="26" customWidth="1" style="113" min="12804" max="12804"/>
    <col width="10" customWidth="1" style="113" min="12805" max="12805"/>
    <col width="4.75" customWidth="1" style="113" min="12806" max="12806"/>
    <col width="9" customWidth="1" style="113" min="12807" max="12807"/>
    <col width="9.75" customWidth="1" style="113" min="12808" max="12808"/>
    <col width="10" customWidth="1" style="113" min="12809" max="12809"/>
    <col width="8.25" customWidth="1" style="113" min="12810" max="12810"/>
    <col width="8.375" customWidth="1" style="113" min="12811" max="12811"/>
    <col width="9" customWidth="1" style="113" min="12812" max="12817"/>
    <col width="10.875" customWidth="1" style="113" min="12818" max="12818"/>
    <col width="9" customWidth="1" style="113" min="12819" max="13059"/>
    <col width="26" customWidth="1" style="113" min="13060" max="13060"/>
    <col width="10" customWidth="1" style="113" min="13061" max="13061"/>
    <col width="4.75" customWidth="1" style="113" min="13062" max="13062"/>
    <col width="9" customWidth="1" style="113" min="13063" max="13063"/>
    <col width="9.75" customWidth="1" style="113" min="13064" max="13064"/>
    <col width="10" customWidth="1" style="113" min="13065" max="13065"/>
    <col width="8.25" customWidth="1" style="113" min="13066" max="13066"/>
    <col width="8.375" customWidth="1" style="113" min="13067" max="13067"/>
    <col width="9" customWidth="1" style="113" min="13068" max="13073"/>
    <col width="10.875" customWidth="1" style="113" min="13074" max="13074"/>
    <col width="9" customWidth="1" style="113" min="13075" max="13315"/>
    <col width="26" customWidth="1" style="113" min="13316" max="13316"/>
    <col width="10" customWidth="1" style="113" min="13317" max="13317"/>
    <col width="4.75" customWidth="1" style="113" min="13318" max="13318"/>
    <col width="9" customWidth="1" style="113" min="13319" max="13319"/>
    <col width="9.75" customWidth="1" style="113" min="13320" max="13320"/>
    <col width="10" customWidth="1" style="113" min="13321" max="13321"/>
    <col width="8.25" customWidth="1" style="113" min="13322" max="13322"/>
    <col width="8.375" customWidth="1" style="113" min="13323" max="13323"/>
    <col width="9" customWidth="1" style="113" min="13324" max="13329"/>
    <col width="10.875" customWidth="1" style="113" min="13330" max="13330"/>
    <col width="9" customWidth="1" style="113" min="13331" max="13571"/>
    <col width="26" customWidth="1" style="113" min="13572" max="13572"/>
    <col width="10" customWidth="1" style="113" min="13573" max="13573"/>
    <col width="4.75" customWidth="1" style="113" min="13574" max="13574"/>
    <col width="9" customWidth="1" style="113" min="13575" max="13575"/>
    <col width="9.75" customWidth="1" style="113" min="13576" max="13576"/>
    <col width="10" customWidth="1" style="113" min="13577" max="13577"/>
    <col width="8.25" customWidth="1" style="113" min="13578" max="13578"/>
    <col width="8.375" customWidth="1" style="113" min="13579" max="13579"/>
    <col width="9" customWidth="1" style="113" min="13580" max="13585"/>
    <col width="10.875" customWidth="1" style="113" min="13586" max="13586"/>
    <col width="9" customWidth="1" style="113" min="13587" max="13827"/>
    <col width="26" customWidth="1" style="113" min="13828" max="13828"/>
    <col width="10" customWidth="1" style="113" min="13829" max="13829"/>
    <col width="4.75" customWidth="1" style="113" min="13830" max="13830"/>
    <col width="9" customWidth="1" style="113" min="13831" max="13831"/>
    <col width="9.75" customWidth="1" style="113" min="13832" max="13832"/>
    <col width="10" customWidth="1" style="113" min="13833" max="13833"/>
    <col width="8.25" customWidth="1" style="113" min="13834" max="13834"/>
    <col width="8.375" customWidth="1" style="113" min="13835" max="13835"/>
    <col width="9" customWidth="1" style="113" min="13836" max="13841"/>
    <col width="10.875" customWidth="1" style="113" min="13842" max="13842"/>
    <col width="9" customWidth="1" style="113" min="13843" max="14083"/>
    <col width="26" customWidth="1" style="113" min="14084" max="14084"/>
    <col width="10" customWidth="1" style="113" min="14085" max="14085"/>
    <col width="4.75" customWidth="1" style="113" min="14086" max="14086"/>
    <col width="9" customWidth="1" style="113" min="14087" max="14087"/>
    <col width="9.75" customWidth="1" style="113" min="14088" max="14088"/>
    <col width="10" customWidth="1" style="113" min="14089" max="14089"/>
    <col width="8.25" customWidth="1" style="113" min="14090" max="14090"/>
    <col width="8.375" customWidth="1" style="113" min="14091" max="14091"/>
    <col width="9" customWidth="1" style="113" min="14092" max="14097"/>
    <col width="10.875" customWidth="1" style="113" min="14098" max="14098"/>
    <col width="9" customWidth="1" style="113" min="14099" max="14339"/>
    <col width="26" customWidth="1" style="113" min="14340" max="14340"/>
    <col width="10" customWidth="1" style="113" min="14341" max="14341"/>
    <col width="4.75" customWidth="1" style="113" min="14342" max="14342"/>
    <col width="9" customWidth="1" style="113" min="14343" max="14343"/>
    <col width="9.75" customWidth="1" style="113" min="14344" max="14344"/>
    <col width="10" customWidth="1" style="113" min="14345" max="14345"/>
    <col width="8.25" customWidth="1" style="113" min="14346" max="14346"/>
    <col width="8.375" customWidth="1" style="113" min="14347" max="14347"/>
    <col width="9" customWidth="1" style="113" min="14348" max="14353"/>
    <col width="10.875" customWidth="1" style="113" min="14354" max="14354"/>
    <col width="9" customWidth="1" style="113" min="14355" max="14595"/>
    <col width="26" customWidth="1" style="113" min="14596" max="14596"/>
    <col width="10" customWidth="1" style="113" min="14597" max="14597"/>
    <col width="4.75" customWidth="1" style="113" min="14598" max="14598"/>
    <col width="9" customWidth="1" style="113" min="14599" max="14599"/>
    <col width="9.75" customWidth="1" style="113" min="14600" max="14600"/>
    <col width="10" customWidth="1" style="113" min="14601" max="14601"/>
    <col width="8.25" customWidth="1" style="113" min="14602" max="14602"/>
    <col width="8.375" customWidth="1" style="113" min="14603" max="14603"/>
    <col width="9" customWidth="1" style="113" min="14604" max="14609"/>
    <col width="10.875" customWidth="1" style="113" min="14610" max="14610"/>
    <col width="9" customWidth="1" style="113" min="14611" max="14851"/>
    <col width="26" customWidth="1" style="113" min="14852" max="14852"/>
    <col width="10" customWidth="1" style="113" min="14853" max="14853"/>
    <col width="4.75" customWidth="1" style="113" min="14854" max="14854"/>
    <col width="9" customWidth="1" style="113" min="14855" max="14855"/>
    <col width="9.75" customWidth="1" style="113" min="14856" max="14856"/>
    <col width="10" customWidth="1" style="113" min="14857" max="14857"/>
    <col width="8.25" customWidth="1" style="113" min="14858" max="14858"/>
    <col width="8.375" customWidth="1" style="113" min="14859" max="14859"/>
    <col width="9" customWidth="1" style="113" min="14860" max="14865"/>
    <col width="10.875" customWidth="1" style="113" min="14866" max="14866"/>
    <col width="9" customWidth="1" style="113" min="14867" max="15107"/>
    <col width="26" customWidth="1" style="113" min="15108" max="15108"/>
    <col width="10" customWidth="1" style="113" min="15109" max="15109"/>
    <col width="4.75" customWidth="1" style="113" min="15110" max="15110"/>
    <col width="9" customWidth="1" style="113" min="15111" max="15111"/>
    <col width="9.75" customWidth="1" style="113" min="15112" max="15112"/>
    <col width="10" customWidth="1" style="113" min="15113" max="15113"/>
    <col width="8.25" customWidth="1" style="113" min="15114" max="15114"/>
    <col width="8.375" customWidth="1" style="113" min="15115" max="15115"/>
    <col width="9" customWidth="1" style="113" min="15116" max="15121"/>
    <col width="10.875" customWidth="1" style="113" min="15122" max="15122"/>
    <col width="9" customWidth="1" style="113" min="15123" max="15363"/>
    <col width="26" customWidth="1" style="113" min="15364" max="15364"/>
    <col width="10" customWidth="1" style="113" min="15365" max="15365"/>
    <col width="4.75" customWidth="1" style="113" min="15366" max="15366"/>
    <col width="9" customWidth="1" style="113" min="15367" max="15367"/>
    <col width="9.75" customWidth="1" style="113" min="15368" max="15368"/>
    <col width="10" customWidth="1" style="113" min="15369" max="15369"/>
    <col width="8.25" customWidth="1" style="113" min="15370" max="15370"/>
    <col width="8.375" customWidth="1" style="113" min="15371" max="15371"/>
    <col width="9" customWidth="1" style="113" min="15372" max="15377"/>
    <col width="10.875" customWidth="1" style="113" min="15378" max="15378"/>
    <col width="9" customWidth="1" style="113" min="15379" max="15619"/>
    <col width="26" customWidth="1" style="113" min="15620" max="15620"/>
    <col width="10" customWidth="1" style="113" min="15621" max="15621"/>
    <col width="4.75" customWidth="1" style="113" min="15622" max="15622"/>
    <col width="9" customWidth="1" style="113" min="15623" max="15623"/>
    <col width="9.75" customWidth="1" style="113" min="15624" max="15624"/>
    <col width="10" customWidth="1" style="113" min="15625" max="15625"/>
    <col width="8.25" customWidth="1" style="113" min="15626" max="15626"/>
    <col width="8.375" customWidth="1" style="113" min="15627" max="15627"/>
    <col width="9" customWidth="1" style="113" min="15628" max="15633"/>
    <col width="10.875" customWidth="1" style="113" min="15634" max="15634"/>
    <col width="9" customWidth="1" style="113" min="15635" max="15875"/>
    <col width="26" customWidth="1" style="113" min="15876" max="15876"/>
    <col width="10" customWidth="1" style="113" min="15877" max="15877"/>
    <col width="4.75" customWidth="1" style="113" min="15878" max="15878"/>
    <col width="9" customWidth="1" style="113" min="15879" max="15879"/>
    <col width="9.75" customWidth="1" style="113" min="15880" max="15880"/>
    <col width="10" customWidth="1" style="113" min="15881" max="15881"/>
    <col width="8.25" customWidth="1" style="113" min="15882" max="15882"/>
    <col width="8.375" customWidth="1" style="113" min="15883" max="15883"/>
    <col width="9" customWidth="1" style="113" min="15884" max="15889"/>
    <col width="10.875" customWidth="1" style="113" min="15890" max="15890"/>
    <col width="9" customWidth="1" style="113" min="15891" max="16131"/>
    <col width="26" customWidth="1" style="113" min="16132" max="16132"/>
    <col width="10" customWidth="1" style="113" min="16133" max="16133"/>
    <col width="4.75" customWidth="1" style="113" min="16134" max="16134"/>
    <col width="9" customWidth="1" style="113" min="16135" max="16135"/>
    <col width="9.75" customWidth="1" style="113" min="16136" max="16136"/>
    <col width="10" customWidth="1" style="113" min="16137" max="16137"/>
    <col width="8.25" customWidth="1" style="113" min="16138" max="16138"/>
    <col width="8.375" customWidth="1" style="113" min="16139" max="16139"/>
    <col width="9" customWidth="1" style="113" min="16140" max="16145"/>
    <col width="10.875" customWidth="1" style="113" min="16146" max="16146"/>
    <col width="9" customWidth="1" style="113" min="16147" max="16384"/>
  </cols>
  <sheetData>
    <row r="1">
      <c r="A1" s="747" t="inlineStr">
        <is>
          <t>Lease Comparables</t>
        </is>
      </c>
      <c r="B1" s="748" t="inlineStr">
        <is>
          <t>Subject</t>
        </is>
      </c>
      <c r="C1" s="748" t="n"/>
      <c r="D1" s="748" t="inlineStr">
        <is>
          <t>Comp No. 1</t>
        </is>
      </c>
      <c r="E1" s="748" t="n"/>
      <c r="F1" s="748" t="inlineStr">
        <is>
          <t>Comp No. 2</t>
        </is>
      </c>
      <c r="G1" s="748" t="n"/>
      <c r="H1" s="748" t="inlineStr">
        <is>
          <t>Comp No. 3</t>
        </is>
      </c>
      <c r="I1" s="748" t="n"/>
      <c r="J1" s="748" t="inlineStr">
        <is>
          <t>Comp No. 4</t>
        </is>
      </c>
      <c r="K1" s="748" t="n"/>
      <c r="L1" s="748" t="inlineStr">
        <is>
          <t>Comp No. 5</t>
        </is>
      </c>
      <c r="M1" s="748" t="n"/>
      <c r="N1" s="748" t="inlineStr">
        <is>
          <t xml:space="preserve"> </t>
        </is>
      </c>
      <c r="O1" s="748" t="inlineStr">
        <is>
          <t>Comp No. 6</t>
        </is>
      </c>
      <c r="P1" s="748" t="n"/>
      <c r="Q1" s="748" t="inlineStr">
        <is>
          <t>Comp No. 7</t>
        </is>
      </c>
      <c r="R1" s="748" t="n"/>
      <c r="S1" s="748" t="inlineStr">
        <is>
          <t>Comp No. 8</t>
        </is>
      </c>
      <c r="T1" s="748" t="n"/>
      <c r="U1" s="748" t="inlineStr">
        <is>
          <t>Comp No. 9</t>
        </is>
      </c>
      <c r="V1" s="748" t="n"/>
      <c r="W1" s="748" t="inlineStr">
        <is>
          <t>Comp No. 10</t>
        </is>
      </c>
      <c r="X1" s="748" t="n"/>
      <c r="Y1" s="748" t="inlineStr">
        <is>
          <t>Comp No. 11</t>
        </is>
      </c>
      <c r="Z1" s="748" t="n"/>
    </row>
    <row r="2">
      <c r="A2" s="749" t="n"/>
      <c r="B2" s="750" t="n"/>
      <c r="C2" s="750" t="n"/>
      <c r="D2" s="750" t="inlineStr">
        <is>
          <t xml:space="preserve"> </t>
        </is>
      </c>
      <c r="E2" s="750" t="n"/>
      <c r="F2" s="750" t="inlineStr">
        <is>
          <t xml:space="preserve"> </t>
        </is>
      </c>
      <c r="G2" s="750" t="n"/>
      <c r="H2" s="750" t="inlineStr"/>
      <c r="I2" s="750" t="n"/>
      <c r="J2" s="750" t="inlineStr">
        <is>
          <t xml:space="preserve"> </t>
        </is>
      </c>
      <c r="K2" s="750" t="n"/>
      <c r="L2" s="750" t="inlineStr">
        <is>
          <t xml:space="preserve"> </t>
        </is>
      </c>
      <c r="M2" s="750" t="n"/>
      <c r="N2" s="750" t="inlineStr">
        <is>
          <t xml:space="preserve"> </t>
        </is>
      </c>
      <c r="O2" s="750" t="inlineStr">
        <is>
          <t xml:space="preserve"> </t>
        </is>
      </c>
      <c r="P2" s="750" t="n"/>
      <c r="Q2" s="750" t="inlineStr">
        <is>
          <t xml:space="preserve"> </t>
        </is>
      </c>
      <c r="R2" s="750" t="n"/>
      <c r="S2" s="750" t="inlineStr">
        <is>
          <t xml:space="preserve"> </t>
        </is>
      </c>
      <c r="T2" s="750" t="n"/>
      <c r="U2" s="750" t="inlineStr">
        <is>
          <t xml:space="preserve"> </t>
        </is>
      </c>
      <c r="V2" s="750" t="n"/>
      <c r="W2" s="750" t="inlineStr">
        <is>
          <t xml:space="preserve"> </t>
        </is>
      </c>
      <c r="X2" s="750" t="n"/>
      <c r="Y2" s="750" t="inlineStr">
        <is>
          <t xml:space="preserve"> </t>
        </is>
      </c>
      <c r="Z2" s="750" t="n"/>
    </row>
    <row r="3">
      <c r="A3" s="751" t="inlineStr">
        <is>
          <t>Address:</t>
        </is>
      </c>
      <c r="B3" s="750" t="inlineStr">
        <is>
          <t>AUTO:address</t>
        </is>
      </c>
      <c r="C3" s="752" t="n"/>
      <c r="D3" s="750" t="n"/>
      <c r="E3" s="752" t="n"/>
      <c r="F3" s="750" t="n"/>
      <c r="G3" s="752" t="n"/>
      <c r="H3" s="750" t="n"/>
      <c r="I3" s="752" t="n"/>
      <c r="J3" s="750" t="n"/>
      <c r="K3" s="752" t="n"/>
      <c r="L3" s="750" t="n"/>
      <c r="M3" s="752" t="n"/>
      <c r="N3" s="750" t="n"/>
      <c r="O3" s="750" t="n"/>
      <c r="P3" s="752" t="n"/>
      <c r="Q3" s="750" t="n"/>
      <c r="R3" s="752" t="n"/>
      <c r="S3" s="750" t="n"/>
      <c r="T3" s="752" t="n"/>
      <c r="U3" s="750" t="n"/>
      <c r="V3" s="752" t="n"/>
      <c r="W3" s="750" t="n"/>
      <c r="X3" s="752" t="n"/>
      <c r="Y3" s="750" t="n"/>
      <c r="Z3" s="752" t="n"/>
    </row>
    <row r="4">
      <c r="A4" s="751" t="inlineStr"/>
      <c r="B4" s="750" t="inlineStr">
        <is>
          <t>AUTO:citystate</t>
        </is>
      </c>
      <c r="C4" s="752" t="n"/>
      <c r="D4" s="750" t="n"/>
      <c r="E4" s="752" t="n"/>
      <c r="F4" s="750" t="n"/>
      <c r="G4" s="752" t="n"/>
      <c r="H4" s="750" t="n"/>
      <c r="I4" s="752" t="n"/>
      <c r="J4" s="750" t="n"/>
      <c r="K4" s="752" t="n"/>
      <c r="L4" s="750" t="n"/>
      <c r="M4" s="752" t="n"/>
      <c r="N4" s="750" t="n"/>
      <c r="O4" s="750" t="n"/>
      <c r="P4" s="752" t="n"/>
      <c r="Q4" s="750" t="n"/>
      <c r="R4" s="752" t="n"/>
      <c r="S4" s="750" t="n"/>
      <c r="T4" s="752" t="n"/>
      <c r="U4" s="750" t="n"/>
      <c r="V4" s="752" t="n"/>
      <c r="W4" s="750" t="n"/>
      <c r="X4" s="752" t="n"/>
      <c r="Y4" s="750" t="n"/>
      <c r="Z4" s="752" t="n"/>
    </row>
    <row r="5">
      <c r="A5" s="751" t="inlineStr">
        <is>
          <t>County</t>
        </is>
      </c>
      <c r="B5" s="750" t="inlineStr">
        <is>
          <t>Marion</t>
        </is>
      </c>
      <c r="C5" s="752" t="n"/>
      <c r="D5" s="750" t="n"/>
      <c r="E5" s="752" t="n"/>
      <c r="F5" s="750" t="n"/>
      <c r="G5" s="752" t="n"/>
      <c r="H5" s="750" t="n"/>
      <c r="I5" s="752" t="n"/>
      <c r="J5" s="750" t="n"/>
      <c r="K5" s="752" t="n"/>
      <c r="L5" s="750" t="n"/>
      <c r="M5" s="752" t="n"/>
      <c r="N5" s="750" t="n"/>
      <c r="O5" s="750" t="n"/>
      <c r="P5" s="752" t="n"/>
      <c r="Q5" s="750" t="n"/>
      <c r="R5" s="752" t="n"/>
      <c r="S5" s="750" t="n"/>
      <c r="T5" s="752" t="n"/>
      <c r="U5" s="750" t="n"/>
      <c r="V5" s="752" t="n"/>
      <c r="W5" s="750" t="n"/>
      <c r="X5" s="752" t="n"/>
      <c r="Y5" s="750" t="n"/>
      <c r="Z5" s="752" t="n"/>
    </row>
    <row r="6" ht="27.4" customHeight="1" s="669">
      <c r="A6" s="751" t="inlineStr">
        <is>
          <t>Tenant</t>
        </is>
      </c>
      <c r="B6" s="750" t="inlineStr">
        <is>
          <t>T-Mobile</t>
        </is>
      </c>
      <c r="C6" s="752" t="n"/>
      <c r="D6" s="753" t="n"/>
      <c r="E6" s="752" t="n"/>
      <c r="F6" s="753" t="n"/>
      <c r="G6" s="752" t="n"/>
      <c r="H6" s="753" t="n"/>
      <c r="I6" s="752" t="n"/>
      <c r="J6" s="753" t="n"/>
      <c r="K6" s="752" t="n"/>
      <c r="L6" s="753" t="n"/>
      <c r="M6" s="752" t="n"/>
      <c r="N6" s="750" t="n"/>
      <c r="O6" s="750" t="n"/>
      <c r="P6" s="752" t="n"/>
      <c r="Q6" s="750" t="n"/>
      <c r="R6" s="752" t="n"/>
      <c r="S6" s="750" t="n"/>
      <c r="T6" s="752" t="n"/>
      <c r="U6" s="750" t="n"/>
      <c r="V6" s="752" t="n"/>
      <c r="W6" s="750" t="n"/>
      <c r="X6" s="752" t="n"/>
      <c r="Y6" s="750" t="n"/>
      <c r="Z6" s="752" t="n"/>
    </row>
    <row r="7" ht="20.25" customHeight="1" s="669">
      <c r="A7" s="655" t="inlineStr">
        <is>
          <t>Date of Lease</t>
        </is>
      </c>
      <c r="B7" s="754" t="n">
        <v>46068</v>
      </c>
      <c r="C7" s="696" t="n"/>
      <c r="D7" s="754" t="n"/>
      <c r="E7" s="696" t="n"/>
      <c r="F7" s="754" t="n"/>
      <c r="G7" s="696" t="n"/>
      <c r="H7" s="754" t="n"/>
      <c r="I7" s="696" t="n"/>
      <c r="J7" s="755" t="n"/>
      <c r="K7" s="696" t="n"/>
      <c r="L7" s="755" t="n"/>
      <c r="M7" s="696" t="n"/>
      <c r="N7" s="750" t="n"/>
      <c r="O7" s="750" t="n"/>
      <c r="P7" s="752" t="n"/>
      <c r="Q7" s="750" t="n"/>
      <c r="R7" s="752" t="n"/>
      <c r="S7" s="750" t="n"/>
      <c r="T7" s="752" t="n"/>
      <c r="U7" s="750" t="n"/>
      <c r="V7" s="752" t="n"/>
      <c r="W7" s="750" t="n"/>
      <c r="X7" s="752" t="n"/>
      <c r="Y7" s="750" t="n"/>
      <c r="Z7" s="752" t="n"/>
    </row>
    <row r="8">
      <c r="A8" s="751" t="inlineStr">
        <is>
          <t>Reported Lease Rate</t>
        </is>
      </c>
      <c r="B8" s="756" t="n"/>
      <c r="C8" s="757" t="n"/>
      <c r="D8" s="758" t="n"/>
      <c r="E8" s="759" t="n"/>
      <c r="F8" s="758" t="n"/>
      <c r="G8" s="759" t="n"/>
      <c r="H8" s="758" t="n"/>
      <c r="I8" s="759" t="n"/>
      <c r="J8" s="758" t="n"/>
      <c r="K8" s="759" t="n"/>
      <c r="L8" s="758" t="n"/>
      <c r="M8" s="759" t="n"/>
      <c r="N8" s="760" t="n"/>
      <c r="O8" s="758" t="n"/>
      <c r="P8" s="759" t="n"/>
      <c r="Q8" s="758" t="n"/>
      <c r="R8" s="759" t="n"/>
      <c r="S8" s="758" t="n"/>
      <c r="T8" s="759" t="n"/>
      <c r="U8" s="758" t="n"/>
      <c r="V8" s="759" t="n"/>
      <c r="W8" s="758" t="n"/>
      <c r="X8" s="759" t="n"/>
      <c r="Y8" s="758" t="n"/>
      <c r="Z8" s="759" t="n"/>
    </row>
    <row r="9">
      <c r="A9" s="751" t="inlineStr">
        <is>
          <t>Building Area (SF)</t>
        </is>
      </c>
      <c r="B9" s="665" t="n">
        <v>3299</v>
      </c>
      <c r="C9" s="751" t="n"/>
      <c r="D9" s="758" t="n"/>
      <c r="E9" s="761" t="n"/>
      <c r="F9" s="758" t="n"/>
      <c r="G9" s="761" t="n"/>
      <c r="H9" s="758" t="n"/>
      <c r="I9" s="761" t="n"/>
      <c r="J9" s="758" t="n"/>
      <c r="K9" s="761" t="n"/>
      <c r="L9" s="758" t="n"/>
      <c r="M9" s="761" t="n"/>
      <c r="N9" s="762" t="n"/>
      <c r="O9" s="758" t="n"/>
      <c r="P9" s="763" t="n"/>
      <c r="Q9" s="758" t="n"/>
      <c r="R9" s="763" t="n"/>
      <c r="S9" s="758" t="n"/>
      <c r="T9" s="763" t="n"/>
      <c r="U9" s="758" t="n"/>
      <c r="V9" s="763" t="n"/>
      <c r="W9" s="758" t="n"/>
      <c r="X9" s="763" t="n"/>
      <c r="Y9" s="758" t="n"/>
      <c r="Z9" s="763" t="n"/>
    </row>
    <row r="10">
      <c r="A10" s="751" t="inlineStr">
        <is>
          <t>Unadjusted Rent/SF</t>
        </is>
      </c>
      <c r="B10" s="756" t="n"/>
      <c r="C10" s="757" t="n"/>
      <c r="D10" s="758" t="n"/>
      <c r="E10" s="759" t="n"/>
      <c r="F10" s="764" t="n"/>
      <c r="G10" s="759" t="n"/>
      <c r="H10" s="758" t="n"/>
      <c r="I10" s="759" t="n"/>
      <c r="J10" s="764" t="n"/>
      <c r="K10" s="759" t="n"/>
      <c r="L10" s="764" t="n"/>
      <c r="M10" s="759" t="n"/>
      <c r="N10" s="760" t="n"/>
      <c r="O10" s="764" t="n"/>
      <c r="P10" s="759" t="n"/>
      <c r="Q10" s="764" t="n"/>
      <c r="R10" s="759" t="n"/>
      <c r="S10" s="764" t="n"/>
      <c r="T10" s="759" t="n"/>
      <c r="U10" s="764" t="n"/>
      <c r="V10" s="759" t="n"/>
      <c r="W10" s="764" t="n"/>
      <c r="X10" s="759" t="n"/>
      <c r="Y10" s="764" t="n"/>
      <c r="Z10" s="759" t="n"/>
    </row>
    <row r="11">
      <c r="A11" s="751" t="inlineStr">
        <is>
          <t>Adjusted to NNN</t>
        </is>
      </c>
      <c r="B11" s="756" t="n"/>
      <c r="C11" s="757" t="n"/>
      <c r="D11" s="758" t="n"/>
      <c r="E11" s="759" t="n"/>
      <c r="F11" s="764" t="n"/>
      <c r="G11" s="759" t="n"/>
      <c r="H11" s="758" t="n"/>
      <c r="I11" s="759" t="n"/>
      <c r="J11" s="764" t="n"/>
      <c r="K11" s="759" t="n"/>
      <c r="L11" s="764" t="n"/>
      <c r="M11" s="759" t="n"/>
      <c r="N11" s="760" t="n"/>
      <c r="O11" s="764" t="n"/>
      <c r="P11" s="759" t="n"/>
      <c r="Q11" s="764" t="n"/>
      <c r="R11" s="759" t="n"/>
      <c r="S11" s="764" t="n"/>
      <c r="T11" s="759" t="n"/>
      <c r="U11" s="764" t="n"/>
      <c r="V11" s="759" t="n"/>
      <c r="W11" s="764" t="n"/>
      <c r="X11" s="759" t="n"/>
      <c r="Y11" s="764" t="n"/>
      <c r="Z11" s="759" t="n"/>
    </row>
    <row r="12">
      <c r="A12" s="751" t="inlineStr">
        <is>
          <t>Adjusted to Current</t>
        </is>
      </c>
      <c r="B12" s="756" t="n"/>
      <c r="C12" s="757" t="n"/>
      <c r="D12" s="758" t="n"/>
      <c r="E12" s="759" t="n"/>
      <c r="F12" s="764" t="n"/>
      <c r="G12" s="759" t="n"/>
      <c r="H12" s="758" t="n"/>
      <c r="I12" s="759" t="n"/>
      <c r="J12" s="764" t="n"/>
      <c r="K12" s="759" t="n"/>
      <c r="L12" s="764" t="n"/>
      <c r="M12" s="759" t="n"/>
      <c r="N12" s="760" t="n"/>
      <c r="O12" s="764" t="n"/>
      <c r="P12" s="759" t="n"/>
      <c r="Q12" s="764" t="n"/>
      <c r="R12" s="759" t="n"/>
      <c r="S12" s="764" t="n"/>
      <c r="T12" s="759" t="n"/>
      <c r="U12" s="764" t="n"/>
      <c r="V12" s="759" t="n"/>
      <c r="W12" s="764" t="n"/>
      <c r="X12" s="759" t="n"/>
      <c r="Y12" s="764" t="n"/>
      <c r="Z12" s="759" t="n"/>
    </row>
    <row r="13">
      <c r="A13" s="751" t="inlineStr">
        <is>
          <t xml:space="preserve"> </t>
        </is>
      </c>
      <c r="B13" s="749" t="n"/>
      <c r="C13" s="751" t="n"/>
      <c r="D13" s="749" t="n"/>
      <c r="E13" s="765" t="n"/>
      <c r="F13" s="749" t="n"/>
      <c r="G13" s="765" t="n"/>
      <c r="H13" s="749" t="n"/>
      <c r="I13" s="765" t="n"/>
      <c r="J13" s="749" t="n"/>
      <c r="K13" s="765" t="n"/>
      <c r="L13" s="749" t="n"/>
      <c r="M13" s="765" t="n"/>
      <c r="N13" s="766" t="n"/>
      <c r="O13" s="749" t="n"/>
      <c r="P13" s="765" t="n"/>
      <c r="Q13" s="749" t="n"/>
      <c r="R13" s="765" t="n"/>
      <c r="S13" s="749" t="n"/>
      <c r="T13" s="765" t="n"/>
      <c r="U13" s="749" t="n"/>
      <c r="V13" s="765" t="n"/>
      <c r="W13" s="749" t="n"/>
      <c r="X13" s="765" t="n"/>
      <c r="Y13" s="749" t="n"/>
      <c r="Z13" s="765" t="n"/>
    </row>
    <row r="14">
      <c r="A14" s="751" t="inlineStr">
        <is>
          <t>Adjustments</t>
        </is>
      </c>
      <c r="B14" s="749" t="n"/>
      <c r="C14" s="751" t="n"/>
      <c r="D14" s="767" t="n"/>
      <c r="E14" s="768" t="n"/>
      <c r="F14" s="767" t="n"/>
      <c r="G14" s="768" t="n"/>
      <c r="H14" s="767" t="n"/>
      <c r="I14" s="768" t="n"/>
      <c r="J14" s="767" t="n"/>
      <c r="K14" s="768" t="n"/>
      <c r="L14" s="767" t="n"/>
      <c r="M14" s="768" t="n"/>
      <c r="N14" s="769" t="n"/>
      <c r="O14" s="767" t="n"/>
      <c r="P14" s="768" t="n"/>
      <c r="Q14" s="767" t="n"/>
      <c r="R14" s="768" t="n"/>
      <c r="S14" s="767" t="n"/>
      <c r="T14" s="768" t="n"/>
      <c r="U14" s="767" t="n"/>
      <c r="V14" s="768" t="n"/>
      <c r="W14" s="767" t="n"/>
      <c r="X14" s="768" t="n"/>
      <c r="Y14" s="767" t="n"/>
      <c r="Z14" s="768" t="n"/>
    </row>
    <row r="15">
      <c r="A15" s="113" t="inlineStr">
        <is>
          <t xml:space="preserve">      Building size</t>
        </is>
      </c>
      <c r="B15" s="770">
        <f>B9</f>
        <v/>
      </c>
      <c r="C15" s="751" t="n"/>
      <c r="D15" s="771" t="inlineStr">
        <is>
          <t>Similar</t>
        </is>
      </c>
      <c r="E15" s="772" t="n">
        <v>0</v>
      </c>
      <c r="F15" s="771" t="inlineStr">
        <is>
          <t>Similar</t>
        </is>
      </c>
      <c r="G15" s="772" t="n">
        <v>0</v>
      </c>
      <c r="H15" s="771" t="inlineStr">
        <is>
          <t>Similar</t>
        </is>
      </c>
      <c r="I15" s="772" t="n">
        <v>0</v>
      </c>
      <c r="J15" s="771" t="inlineStr">
        <is>
          <t>Similar</t>
        </is>
      </c>
      <c r="K15" s="772" t="n">
        <v>0</v>
      </c>
      <c r="L15" s="771" t="inlineStr">
        <is>
          <t>Similar</t>
        </is>
      </c>
      <c r="M15" s="772" t="n">
        <v>0</v>
      </c>
      <c r="N15" s="773" t="inlineStr">
        <is>
          <t>Similar</t>
        </is>
      </c>
      <c r="O15" s="771" t="n">
        <v>0</v>
      </c>
      <c r="P15" s="772" t="inlineStr">
        <is>
          <t>Similar</t>
        </is>
      </c>
      <c r="Q15" s="771" t="n">
        <v>0</v>
      </c>
      <c r="R15" s="772" t="inlineStr">
        <is>
          <t>Similar</t>
        </is>
      </c>
      <c r="S15" s="771" t="n">
        <v>0</v>
      </c>
      <c r="T15" s="772" t="inlineStr">
        <is>
          <t>Similar</t>
        </is>
      </c>
      <c r="U15" s="771" t="n">
        <v>0</v>
      </c>
      <c r="V15" s="772" t="inlineStr">
        <is>
          <t>Similar</t>
        </is>
      </c>
      <c r="W15" s="771" t="n">
        <v>0</v>
      </c>
      <c r="X15" s="772" t="inlineStr">
        <is>
          <t>Similar</t>
        </is>
      </c>
      <c r="Y15" s="771" t="n">
        <v>0</v>
      </c>
      <c r="Z15" s="772" t="inlineStr">
        <is>
          <t>Similar</t>
        </is>
      </c>
    </row>
    <row r="16">
      <c r="A16" s="751" t="inlineStr">
        <is>
          <t xml:space="preserve">      Location/Exposure</t>
        </is>
      </c>
      <c r="B16" s="774" t="inlineStr">
        <is>
          <t>38,038 AADT\Excellent</t>
        </is>
      </c>
      <c r="C16" s="696" t="n"/>
      <c r="D16" s="771" t="inlineStr">
        <is>
          <t>Similar</t>
        </is>
      </c>
      <c r="E16" s="772" t="n">
        <v>0</v>
      </c>
      <c r="F16" s="771" t="inlineStr">
        <is>
          <t>Inferior</t>
        </is>
      </c>
      <c r="G16" s="772" t="n">
        <v>0.1</v>
      </c>
      <c r="H16" s="771" t="inlineStr">
        <is>
          <t>Inferior</t>
        </is>
      </c>
      <c r="I16" s="772" t="n">
        <v>0.1</v>
      </c>
      <c r="J16" s="771" t="inlineStr">
        <is>
          <t>Similar</t>
        </is>
      </c>
      <c r="K16" s="772" t="n">
        <v>0</v>
      </c>
      <c r="L16" s="771" t="inlineStr">
        <is>
          <t>Inferior</t>
        </is>
      </c>
      <c r="M16" s="772" t="n">
        <v>0.1</v>
      </c>
      <c r="N16" s="773" t="inlineStr">
        <is>
          <t xml:space="preserve"> </t>
        </is>
      </c>
      <c r="O16" s="771" t="inlineStr">
        <is>
          <t>Similar</t>
        </is>
      </c>
      <c r="P16" s="772" t="n">
        <v>0</v>
      </c>
      <c r="Q16" s="771" t="inlineStr">
        <is>
          <t>Similar</t>
        </is>
      </c>
      <c r="R16" s="772" t="n">
        <v>0</v>
      </c>
      <c r="S16" s="771" t="inlineStr">
        <is>
          <t>Similar</t>
        </is>
      </c>
      <c r="T16" s="772" t="n">
        <v>0</v>
      </c>
      <c r="U16" s="771" t="inlineStr">
        <is>
          <t>Similar</t>
        </is>
      </c>
      <c r="V16" s="772" t="n">
        <v>0</v>
      </c>
      <c r="W16" s="771" t="inlineStr">
        <is>
          <t>Similar</t>
        </is>
      </c>
      <c r="X16" s="772" t="n">
        <v>0.05</v>
      </c>
      <c r="Y16" s="771" t="inlineStr">
        <is>
          <t>Similar</t>
        </is>
      </c>
      <c r="Z16" s="772" t="n">
        <v>0.05</v>
      </c>
    </row>
    <row r="17">
      <c r="A17" s="751" t="inlineStr">
        <is>
          <t xml:space="preserve">      Quality/Condition</t>
        </is>
      </c>
      <c r="B17" s="771" t="inlineStr">
        <is>
          <t>Average</t>
        </is>
      </c>
      <c r="C17" s="751" t="n"/>
      <c r="D17" s="771" t="inlineStr">
        <is>
          <t>Similar</t>
        </is>
      </c>
      <c r="E17" s="772" t="n">
        <v>0</v>
      </c>
      <c r="F17" s="771" t="inlineStr">
        <is>
          <t>Similar</t>
        </is>
      </c>
      <c r="G17" s="772" t="n">
        <v>0</v>
      </c>
      <c r="H17" s="771" t="inlineStr">
        <is>
          <t>Similar</t>
        </is>
      </c>
      <c r="I17" s="772" t="n">
        <v>0</v>
      </c>
      <c r="J17" s="771" t="inlineStr">
        <is>
          <t>Similar</t>
        </is>
      </c>
      <c r="K17" s="772" t="n">
        <v>0</v>
      </c>
      <c r="L17" s="771" t="inlineStr">
        <is>
          <t>Similar</t>
        </is>
      </c>
      <c r="M17" s="772" t="n">
        <v>0</v>
      </c>
      <c r="N17" s="773" t="inlineStr">
        <is>
          <t xml:space="preserve"> </t>
        </is>
      </c>
      <c r="O17" s="771" t="inlineStr">
        <is>
          <t>Sl. Infer.</t>
        </is>
      </c>
      <c r="P17" s="772" t="n">
        <v>0</v>
      </c>
      <c r="Q17" s="771" t="inlineStr">
        <is>
          <t>Sl. Infer.</t>
        </is>
      </c>
      <c r="R17" s="772" t="n">
        <v>0</v>
      </c>
      <c r="S17" s="771" t="inlineStr">
        <is>
          <t>Sl. Infer.</t>
        </is>
      </c>
      <c r="T17" s="772" t="n">
        <v>0</v>
      </c>
      <c r="U17" s="771" t="inlineStr">
        <is>
          <t>Sl. Infer.</t>
        </is>
      </c>
      <c r="V17" s="772" t="n">
        <v>0</v>
      </c>
      <c r="W17" s="771" t="inlineStr">
        <is>
          <t>Sl. Infer.</t>
        </is>
      </c>
      <c r="X17" s="772" t="n">
        <v>0</v>
      </c>
      <c r="Y17" s="771" t="inlineStr">
        <is>
          <t>Sl. Infer.</t>
        </is>
      </c>
      <c r="Z17" s="772" t="n">
        <v>0</v>
      </c>
    </row>
    <row r="18">
      <c r="A18" s="751" t="inlineStr">
        <is>
          <t xml:space="preserve">      Zoning</t>
        </is>
      </c>
      <c r="B18" s="771" t="inlineStr">
        <is>
          <t>C-4</t>
        </is>
      </c>
      <c r="C18" s="751" t="n"/>
      <c r="D18" s="771" t="inlineStr">
        <is>
          <t>Similar</t>
        </is>
      </c>
      <c r="E18" s="772" t="n">
        <v>0</v>
      </c>
      <c r="F18" s="771" t="inlineStr">
        <is>
          <t>Similar</t>
        </is>
      </c>
      <c r="G18" s="772" t="n">
        <v>0</v>
      </c>
      <c r="H18" s="771" t="inlineStr">
        <is>
          <t>Similar</t>
        </is>
      </c>
      <c r="I18" s="772" t="n">
        <v>0</v>
      </c>
      <c r="J18" s="771" t="inlineStr">
        <is>
          <t>Similar</t>
        </is>
      </c>
      <c r="K18" s="772" t="n">
        <v>0</v>
      </c>
      <c r="L18" s="771" t="inlineStr">
        <is>
          <t>Similar</t>
        </is>
      </c>
      <c r="M18" s="772" t="n">
        <v>0</v>
      </c>
      <c r="N18" s="773" t="inlineStr">
        <is>
          <t>Similar</t>
        </is>
      </c>
      <c r="O18" s="771" t="n">
        <v>0</v>
      </c>
      <c r="P18" s="772" t="inlineStr">
        <is>
          <t>Similar</t>
        </is>
      </c>
      <c r="Q18" s="771" t="n">
        <v>0</v>
      </c>
      <c r="R18" s="772" t="inlineStr">
        <is>
          <t>Similar</t>
        </is>
      </c>
      <c r="S18" s="771" t="n">
        <v>0</v>
      </c>
      <c r="T18" s="772" t="inlineStr">
        <is>
          <t>Similar</t>
        </is>
      </c>
      <c r="U18" s="771" t="n">
        <v>0</v>
      </c>
      <c r="V18" s="772" t="inlineStr">
        <is>
          <t>Similar</t>
        </is>
      </c>
      <c r="W18" s="771" t="n">
        <v>0</v>
      </c>
      <c r="X18" s="772" t="inlineStr">
        <is>
          <t>Similar</t>
        </is>
      </c>
      <c r="Y18" s="771" t="n">
        <v>0</v>
      </c>
      <c r="Z18" s="772" t="inlineStr">
        <is>
          <t>Similar</t>
        </is>
      </c>
    </row>
    <row r="19">
      <c r="A19" s="751" t="inlineStr">
        <is>
          <t xml:space="preserve">      Parking</t>
        </is>
      </c>
      <c r="B19" s="771" t="inlineStr">
        <is>
          <t>Onsite</t>
        </is>
      </c>
      <c r="C19" s="775" t="n"/>
      <c r="D19" s="771" t="inlineStr">
        <is>
          <t>Similar</t>
        </is>
      </c>
      <c r="E19" s="776" t="n">
        <v>0</v>
      </c>
      <c r="F19" s="771" t="inlineStr">
        <is>
          <t>Similar</t>
        </is>
      </c>
      <c r="G19" s="776" t="n">
        <v>0</v>
      </c>
      <c r="H19" s="771" t="inlineStr">
        <is>
          <t>Similar</t>
        </is>
      </c>
      <c r="I19" s="776" t="n">
        <v>0</v>
      </c>
      <c r="J19" s="771" t="inlineStr">
        <is>
          <t>Similar</t>
        </is>
      </c>
      <c r="K19" s="776" t="n">
        <v>0</v>
      </c>
      <c r="L19" s="771" t="inlineStr">
        <is>
          <t>Inferior</t>
        </is>
      </c>
      <c r="M19" s="776" t="n">
        <v>0.05</v>
      </c>
      <c r="N19" s="777" t="n"/>
      <c r="O19" s="771" t="inlineStr">
        <is>
          <t>Superior</t>
        </is>
      </c>
      <c r="P19" s="776" t="n">
        <v>0</v>
      </c>
      <c r="Q19" s="771" t="inlineStr">
        <is>
          <t>Superior</t>
        </is>
      </c>
      <c r="R19" s="776" t="n">
        <v>0</v>
      </c>
      <c r="S19" s="771" t="inlineStr">
        <is>
          <t>Superior</t>
        </is>
      </c>
      <c r="T19" s="776" t="n">
        <v>0</v>
      </c>
      <c r="U19" s="771" t="inlineStr">
        <is>
          <t>Superior</t>
        </is>
      </c>
      <c r="V19" s="776" t="n">
        <v>0</v>
      </c>
      <c r="W19" s="771" t="inlineStr">
        <is>
          <t>Superior</t>
        </is>
      </c>
      <c r="X19" s="776" t="n">
        <v>0</v>
      </c>
      <c r="Y19" s="771" t="inlineStr">
        <is>
          <t>Superior</t>
        </is>
      </c>
      <c r="Z19" s="776" t="n">
        <v>0</v>
      </c>
    </row>
    <row r="20">
      <c r="A20" s="751" t="inlineStr">
        <is>
          <t xml:space="preserve">      Total of Other Adjustments</t>
        </is>
      </c>
      <c r="B20" s="756" t="n"/>
      <c r="C20" s="757" t="n"/>
      <c r="D20" s="749" t="n"/>
      <c r="E20" s="772">
        <f>SUM(E15:E19)</f>
        <v/>
      </c>
      <c r="F20" s="749" t="n"/>
      <c r="G20" s="772">
        <f>SUM(G15:G19)</f>
        <v/>
      </c>
      <c r="H20" s="749" t="n"/>
      <c r="I20" s="772">
        <f>SUM(I15:I19)</f>
        <v/>
      </c>
      <c r="J20" s="749" t="n"/>
      <c r="K20" s="772">
        <f>SUM(K15:K19)</f>
        <v/>
      </c>
      <c r="L20" s="749" t="n"/>
      <c r="M20" s="772">
        <f>SUM(M15:M19)</f>
        <v/>
      </c>
      <c r="N20" s="773" t="inlineStr">
        <is>
          <t xml:space="preserve"> </t>
        </is>
      </c>
      <c r="O20" s="749" t="n"/>
      <c r="P20" s="772">
        <f>SUM(P15:P19)</f>
        <v/>
      </c>
      <c r="Q20" s="749" t="n"/>
      <c r="R20" s="772">
        <f>SUM(R15:R19)</f>
        <v/>
      </c>
      <c r="S20" s="749" t="n"/>
      <c r="T20" s="772">
        <f>SUM(T15:T19)</f>
        <v/>
      </c>
      <c r="U20" s="749" t="n"/>
      <c r="V20" s="772">
        <f>SUM(V15:V19)</f>
        <v/>
      </c>
      <c r="W20" s="749" t="n"/>
      <c r="X20" s="772">
        <f>SUM(X15:X19)</f>
        <v/>
      </c>
      <c r="Y20" s="749" t="n"/>
      <c r="Z20" s="772">
        <f>SUM(Z15:Z19)</f>
        <v/>
      </c>
    </row>
    <row r="21">
      <c r="A21" s="751" t="inlineStr">
        <is>
          <t xml:space="preserve"> </t>
        </is>
      </c>
      <c r="B21" s="756" t="n"/>
      <c r="C21" s="757" t="n"/>
      <c r="D21" s="778" t="inlineStr">
        <is>
          <t>Similar</t>
        </is>
      </c>
      <c r="E21" s="779" t="n">
        <v>0</v>
      </c>
      <c r="F21" s="778" t="inlineStr">
        <is>
          <t>Similar</t>
        </is>
      </c>
      <c r="G21" s="779" t="n">
        <v>0</v>
      </c>
      <c r="H21" s="778" t="inlineStr">
        <is>
          <t>Similar</t>
        </is>
      </c>
      <c r="I21" s="779" t="n">
        <v>0</v>
      </c>
      <c r="J21" s="778" t="inlineStr">
        <is>
          <t>Similar</t>
        </is>
      </c>
      <c r="K21" s="779" t="n">
        <v>0</v>
      </c>
      <c r="L21" s="778" t="inlineStr">
        <is>
          <t>Similar</t>
        </is>
      </c>
      <c r="M21" s="779" t="n">
        <v>0</v>
      </c>
      <c r="N21" s="780" t="inlineStr">
        <is>
          <t>Similar</t>
        </is>
      </c>
      <c r="O21" s="778" t="n">
        <v>0</v>
      </c>
      <c r="P21" s="779" t="inlineStr">
        <is>
          <t>Similar</t>
        </is>
      </c>
      <c r="Q21" s="778" t="n">
        <v>0</v>
      </c>
      <c r="R21" s="779" t="inlineStr">
        <is>
          <t>Similar</t>
        </is>
      </c>
      <c r="S21" s="778" t="n">
        <v>0</v>
      </c>
      <c r="T21" s="779" t="inlineStr">
        <is>
          <t>Similar</t>
        </is>
      </c>
      <c r="U21" s="778" t="n">
        <v>0</v>
      </c>
      <c r="V21" s="779" t="inlineStr">
        <is>
          <t>Similar</t>
        </is>
      </c>
      <c r="W21" s="778" t="n">
        <v>0</v>
      </c>
      <c r="X21" s="779" t="inlineStr">
        <is>
          <t>Similar</t>
        </is>
      </c>
      <c r="Y21" s="778" t="n">
        <v>0</v>
      </c>
      <c r="Z21" s="779" t="inlineStr">
        <is>
          <t>Similar</t>
        </is>
      </c>
    </row>
    <row r="22">
      <c r="A22" s="751" t="inlineStr">
        <is>
          <t>Final Adjusted Rent/SF</t>
        </is>
      </c>
      <c r="B22" s="756" t="n"/>
      <c r="C22" s="757" t="n"/>
      <c r="D22" s="749" t="n"/>
      <c r="E22" s="759">
        <f>ROUND((E12*E20)+E12,2)</f>
        <v/>
      </c>
      <c r="F22" s="749" t="n"/>
      <c r="G22" s="759">
        <f>ROUND((G12*G20)+G12,2)</f>
        <v/>
      </c>
      <c r="H22" s="749" t="n"/>
      <c r="I22" s="759">
        <f>ROUND((I12*I20)+I12,2)</f>
        <v/>
      </c>
      <c r="J22" s="749" t="n"/>
      <c r="K22" s="759">
        <f>ROUND((K12*K20)+K12,2)</f>
        <v/>
      </c>
      <c r="L22" s="749" t="n"/>
      <c r="M22" s="759">
        <f>ROUND((M12*M20)+M12,2)</f>
        <v/>
      </c>
      <c r="N22" s="760">
        <f>AVERAGE(E22:M22)</f>
        <v/>
      </c>
      <c r="O22" s="749" t="n"/>
      <c r="P22" s="759">
        <f>ROUND((P12*P20)+P12,2)</f>
        <v/>
      </c>
      <c r="Q22" s="749" t="n"/>
      <c r="R22" s="759">
        <f>ROUND((R12*R20)+R12,2)</f>
        <v/>
      </c>
      <c r="S22" s="749" t="n"/>
      <c r="T22" s="759">
        <f>ROUND((T12*T20)+T12,2)</f>
        <v/>
      </c>
      <c r="U22" s="749" t="n"/>
      <c r="V22" s="759">
        <f>ROUND((V12*V20)+V12,2)</f>
        <v/>
      </c>
      <c r="W22" s="749" t="n"/>
      <c r="X22" s="759">
        <f>ROUND((X12*X20)+X12,2)</f>
        <v/>
      </c>
      <c r="Y22" s="749" t="n"/>
      <c r="Z22" s="759">
        <f>ROUND((Z12*Z20)+Z12,2)</f>
        <v/>
      </c>
    </row>
    <row r="23">
      <c r="A23" s="749" t="inlineStr">
        <is>
          <t xml:space="preserve"> </t>
        </is>
      </c>
      <c r="B23" s="749" t="n"/>
      <c r="C23" s="749" t="n"/>
      <c r="D23" s="749" t="n"/>
      <c r="E23" s="749" t="n"/>
      <c r="F23" s="749" t="n"/>
      <c r="G23" s="749" t="n"/>
      <c r="H23" s="749" t="n"/>
      <c r="I23" s="749" t="n"/>
      <c r="J23" s="749" t="n"/>
      <c r="K23" s="749" t="n"/>
      <c r="L23" s="749" t="n"/>
      <c r="M23" s="749" t="n"/>
      <c r="N23" s="749" t="inlineStr">
        <is>
          <t xml:space="preserve"> </t>
        </is>
      </c>
      <c r="O23" s="749" t="n"/>
      <c r="P23" s="749" t="n"/>
      <c r="Q23" s="749" t="n"/>
      <c r="R23" s="749" t="n"/>
      <c r="S23" s="749" t="n"/>
      <c r="T23" s="749" t="n"/>
      <c r="U23" s="749" t="n"/>
      <c r="V23" s="749" t="n"/>
      <c r="W23" s="749" t="n"/>
      <c r="X23" s="749" t="n"/>
      <c r="Y23" s="749" t="n"/>
      <c r="Z23" s="749" t="n"/>
    </row>
    <row r="24">
      <c r="A24" s="781" t="inlineStr">
        <is>
          <t>For Reconciliation Purposes</t>
        </is>
      </c>
      <c r="B24" s="781" t="n"/>
      <c r="C24" s="781" t="n"/>
      <c r="D24" s="781" t="n"/>
      <c r="E24" s="781" t="n"/>
      <c r="F24" s="781" t="n"/>
      <c r="G24" s="781" t="n"/>
      <c r="H24" s="781" t="n"/>
      <c r="I24" s="781" t="n"/>
      <c r="J24" s="781" t="n"/>
      <c r="K24" s="781" t="n"/>
      <c r="L24" s="781" t="n"/>
      <c r="M24" s="781" t="n"/>
      <c r="N24" s="781" t="inlineStr">
        <is>
          <t xml:space="preserve"> </t>
        </is>
      </c>
      <c r="O24" s="781" t="n"/>
      <c r="P24" s="781" t="n"/>
      <c r="Q24" s="781" t="n"/>
      <c r="R24" s="781" t="n"/>
      <c r="S24" s="781" t="n"/>
      <c r="T24" s="781" t="n"/>
      <c r="U24" s="781" t="n"/>
      <c r="V24" s="781" t="n"/>
      <c r="W24" s="781" t="n"/>
      <c r="X24" s="781" t="n"/>
      <c r="Y24" s="781" t="n"/>
      <c r="Z24" s="781" t="n"/>
    </row>
    <row r="25">
      <c r="A25" s="781" t="inlineStr">
        <is>
          <t xml:space="preserve">        Total Adjustment ($/SF) </t>
        </is>
      </c>
      <c r="B25" s="781" t="n"/>
      <c r="C25" s="781" t="n"/>
      <c r="D25" s="782" t="n"/>
      <c r="E25" s="782">
        <f>E22-E10</f>
        <v/>
      </c>
      <c r="F25" s="782" t="n"/>
      <c r="G25" s="782">
        <f>G22-G10</f>
        <v/>
      </c>
      <c r="H25" s="783" t="n"/>
      <c r="I25" s="782">
        <f>I22-I10</f>
        <v/>
      </c>
      <c r="J25" s="782" t="inlineStr">
        <is>
          <t xml:space="preserve"> </t>
        </is>
      </c>
      <c r="K25" s="782">
        <f>K22-K10</f>
        <v/>
      </c>
      <c r="L25" s="782" t="inlineStr">
        <is>
          <t xml:space="preserve"> </t>
        </is>
      </c>
      <c r="M25" s="782">
        <f>M22-M10</f>
        <v/>
      </c>
      <c r="N25" s="782" t="inlineStr">
        <is>
          <t xml:space="preserve"> </t>
        </is>
      </c>
      <c r="O25" s="782" t="inlineStr">
        <is>
          <t xml:space="preserve"> </t>
        </is>
      </c>
      <c r="P25" s="782">
        <f>P22-P10</f>
        <v/>
      </c>
      <c r="Q25" s="782" t="inlineStr">
        <is>
          <t xml:space="preserve"> </t>
        </is>
      </c>
      <c r="R25" s="782">
        <f>R22-R10</f>
        <v/>
      </c>
      <c r="S25" s="782" t="inlineStr">
        <is>
          <t xml:space="preserve"> </t>
        </is>
      </c>
      <c r="T25" s="782">
        <f>T22-T10</f>
        <v/>
      </c>
      <c r="U25" s="782" t="inlineStr">
        <is>
          <t xml:space="preserve"> </t>
        </is>
      </c>
      <c r="V25" s="782">
        <f>V22-V10</f>
        <v/>
      </c>
      <c r="W25" s="782" t="inlineStr">
        <is>
          <t xml:space="preserve"> </t>
        </is>
      </c>
      <c r="X25" s="782">
        <f>X22-X10</f>
        <v/>
      </c>
      <c r="Y25" s="782" t="inlineStr">
        <is>
          <t xml:space="preserve"> </t>
        </is>
      </c>
      <c r="Z25" s="782">
        <f>Z22-Z10</f>
        <v/>
      </c>
    </row>
    <row r="26">
      <c r="A26" s="781" t="inlineStr">
        <is>
          <t xml:space="preserve">        Total Adjustment (% of Rent)</t>
        </is>
      </c>
      <c r="B26" s="781" t="n"/>
      <c r="C26" s="781" t="n"/>
      <c r="D26" s="784" t="n"/>
      <c r="E26" s="785">
        <f>(E22/E10)-1</f>
        <v/>
      </c>
      <c r="F26" s="785" t="inlineStr">
        <is>
          <t xml:space="preserve"> </t>
        </is>
      </c>
      <c r="G26" s="785">
        <f>(G22/G10)-1</f>
        <v/>
      </c>
      <c r="H26" s="786" t="n"/>
      <c r="I26" s="785">
        <f>(I22/I10)-1</f>
        <v/>
      </c>
      <c r="J26" s="785" t="inlineStr">
        <is>
          <t xml:space="preserve"> </t>
        </is>
      </c>
      <c r="K26" s="785">
        <f>(K22/K10)-1</f>
        <v/>
      </c>
      <c r="L26" s="785" t="inlineStr">
        <is>
          <t xml:space="preserve"> </t>
        </is>
      </c>
      <c r="M26" s="785">
        <f>(M22/M10)-1</f>
        <v/>
      </c>
      <c r="N26" s="785" t="inlineStr">
        <is>
          <t xml:space="preserve"> </t>
        </is>
      </c>
      <c r="O26" s="785" t="inlineStr">
        <is>
          <t xml:space="preserve"> </t>
        </is>
      </c>
      <c r="P26" s="785">
        <f>(P22/P10)-1</f>
        <v/>
      </c>
      <c r="Q26" s="785" t="inlineStr">
        <is>
          <t xml:space="preserve"> </t>
        </is>
      </c>
      <c r="R26" s="785">
        <f>(R22/R10)-1</f>
        <v/>
      </c>
      <c r="S26" s="785" t="inlineStr">
        <is>
          <t xml:space="preserve"> </t>
        </is>
      </c>
      <c r="T26" s="785">
        <f>(T22/T10)-1</f>
        <v/>
      </c>
      <c r="U26" s="785" t="inlineStr">
        <is>
          <t xml:space="preserve"> </t>
        </is>
      </c>
      <c r="V26" s="785">
        <f>(V22/V10)-1</f>
        <v/>
      </c>
      <c r="W26" s="785" t="inlineStr">
        <is>
          <t xml:space="preserve"> </t>
        </is>
      </c>
      <c r="X26" s="785">
        <f>(X22/X10)-1</f>
        <v/>
      </c>
      <c r="Y26" s="785" t="inlineStr">
        <is>
          <t xml:space="preserve"> </t>
        </is>
      </c>
      <c r="Z26" s="785">
        <f>(Z22/Z10)-1</f>
        <v/>
      </c>
    </row>
    <row r="27">
      <c r="A27" s="787" t="inlineStr">
        <is>
          <t xml:space="preserve"> </t>
        </is>
      </c>
      <c r="B27" s="787" t="n"/>
      <c r="C27" s="787" t="n"/>
      <c r="D27" s="788" t="n"/>
      <c r="E27" s="788" t="n"/>
      <c r="F27" s="788" t="n"/>
      <c r="G27" s="788" t="n"/>
      <c r="H27" s="788" t="n"/>
      <c r="I27" s="788" t="n"/>
      <c r="J27" s="788" t="n"/>
      <c r="K27" s="788" t="n"/>
      <c r="L27" s="788" t="n"/>
      <c r="M27" s="788" t="n"/>
      <c r="N27" s="788" t="inlineStr">
        <is>
          <t xml:space="preserve"> </t>
        </is>
      </c>
      <c r="O27" s="788" t="n"/>
      <c r="P27" s="788" t="n"/>
      <c r="Q27" s="788" t="n"/>
      <c r="R27" s="788" t="n"/>
      <c r="S27" s="788" t="n"/>
      <c r="T27" s="788" t="n"/>
      <c r="U27" s="788" t="n"/>
      <c r="V27" s="788" t="n"/>
      <c r="W27" s="788" t="n"/>
      <c r="X27" s="788" t="n"/>
      <c r="Y27" s="788" t="n"/>
      <c r="Z27" s="788" t="n"/>
    </row>
    <row r="28">
      <c r="A28" s="787" t="n"/>
      <c r="B28" s="789" t="n"/>
      <c r="C28" s="787" t="n"/>
      <c r="D28" s="787" t="n"/>
      <c r="E28" s="787" t="n"/>
      <c r="F28" s="787" t="n"/>
      <c r="G28" s="787" t="n"/>
      <c r="H28" s="787" t="n"/>
      <c r="I28" s="787" t="n"/>
      <c r="J28" s="787" t="n"/>
      <c r="K28" s="787" t="n"/>
      <c r="L28" s="787" t="n"/>
      <c r="M28" s="787" t="n"/>
      <c r="N28" s="787" t="inlineStr">
        <is>
          <t xml:space="preserve"> </t>
        </is>
      </c>
      <c r="O28" s="787" t="n"/>
      <c r="P28" s="787" t="n"/>
      <c r="Q28" s="787" t="n"/>
      <c r="R28" s="787" t="n"/>
      <c r="S28" s="787" t="n"/>
      <c r="T28" s="787" t="n"/>
      <c r="U28" s="787" t="n"/>
      <c r="V28" s="787" t="n"/>
      <c r="W28" s="787" t="n"/>
      <c r="X28" s="787" t="n"/>
      <c r="Y28" s="787" t="n"/>
      <c r="Z28" s="787" t="n"/>
    </row>
    <row r="29" ht="9" customHeight="1" s="669">
      <c r="A29" s="790" t="n"/>
      <c r="B29" s="791" t="n"/>
      <c r="C29" s="791" t="n"/>
      <c r="D29" s="791" t="n"/>
      <c r="E29" s="792" t="n"/>
      <c r="F29" s="749" t="n"/>
      <c r="G29" s="787" t="n"/>
      <c r="H29" s="787" t="n"/>
      <c r="I29" s="787" t="n"/>
      <c r="J29" s="787" t="n"/>
      <c r="K29" s="787" t="n"/>
      <c r="L29" s="787" t="n"/>
      <c r="M29" s="787" t="n"/>
      <c r="N29" s="787" t="inlineStr">
        <is>
          <t xml:space="preserve"> </t>
        </is>
      </c>
      <c r="O29" s="787" t="n"/>
      <c r="P29" s="787" t="n"/>
      <c r="Q29" s="787" t="n"/>
      <c r="R29" s="787" t="n"/>
      <c r="S29" s="787" t="n"/>
      <c r="T29" s="787" t="n"/>
      <c r="U29" s="787" t="n"/>
      <c r="V29" s="787" t="n"/>
      <c r="W29" s="787" t="n"/>
      <c r="X29" s="787" t="n"/>
      <c r="Y29" s="787" t="n"/>
      <c r="Z29" s="787" t="n"/>
    </row>
    <row r="30" ht="11.25" customHeight="1" s="669">
      <c r="A30" s="793" t="inlineStr">
        <is>
          <t>Potential Gross Income</t>
        </is>
      </c>
      <c r="B30" s="106" t="n"/>
      <c r="C30" s="106" t="n"/>
      <c r="D30" s="106" t="n"/>
      <c r="E30" s="121" t="n"/>
      <c r="F30" s="749" t="n"/>
      <c r="G30" s="787" t="n"/>
      <c r="H30" s="787" t="n"/>
      <c r="I30" s="787" t="n"/>
      <c r="J30" s="787" t="n"/>
      <c r="K30" s="787" t="n"/>
      <c r="L30" s="787" t="n"/>
      <c r="M30" s="787" t="n"/>
      <c r="N30" s="787" t="inlineStr">
        <is>
          <t xml:space="preserve"> </t>
        </is>
      </c>
      <c r="O30" s="787" t="n"/>
      <c r="P30" s="787" t="n"/>
      <c r="Q30" s="787" t="n"/>
      <c r="R30" s="787" t="n"/>
      <c r="S30" s="787" t="n"/>
      <c r="T30" s="787" t="n"/>
      <c r="U30" s="787" t="n"/>
      <c r="V30" s="787" t="n"/>
      <c r="W30" s="787" t="n"/>
      <c r="X30" s="787" t="n"/>
      <c r="Y30" s="787" t="n"/>
      <c r="Z30" s="787" t="n"/>
    </row>
    <row r="31" ht="18.75" customHeight="1" s="669">
      <c r="A31" s="104" t="inlineStr">
        <is>
          <t xml:space="preserve">     Subject Property:</t>
        </is>
      </c>
      <c r="B31" s="794">
        <f>B9</f>
        <v/>
      </c>
      <c r="C31" s="795" t="n">
        <v>22</v>
      </c>
      <c r="D31" s="796" t="n"/>
      <c r="E31" s="797">
        <f>ROUND(B31*C31,0)</f>
        <v/>
      </c>
      <c r="F31" s="80" t="n"/>
      <c r="G31" s="798" t="n"/>
      <c r="H31" s="798" t="n"/>
      <c r="I31" s="798" t="n"/>
      <c r="J31" s="798" t="n"/>
      <c r="K31" s="798" t="n"/>
      <c r="L31" s="798" t="n"/>
      <c r="M31" s="798" t="n"/>
      <c r="N31" s="798" t="inlineStr">
        <is>
          <t xml:space="preserve"> </t>
        </is>
      </c>
      <c r="O31" s="798" t="n"/>
      <c r="P31" s="798" t="n"/>
      <c r="Q31" s="798" t="n"/>
      <c r="R31" s="798" t="n"/>
      <c r="S31" s="798" t="n"/>
      <c r="T31" s="798" t="n"/>
      <c r="U31" s="798" t="n"/>
      <c r="V31" s="798" t="n"/>
      <c r="W31" s="798" t="n"/>
      <c r="X31" s="798" t="n"/>
      <c r="Y31" s="798" t="n"/>
      <c r="Z31" s="798" t="n"/>
    </row>
    <row r="32" ht="9" customHeight="1" s="669">
      <c r="A32" s="799" t="n"/>
      <c r="B32" s="109" t="n"/>
      <c r="C32" s="109" t="n"/>
      <c r="D32" s="800" t="n"/>
      <c r="E32" s="801" t="n"/>
      <c r="F32" s="802" t="n"/>
      <c r="G32" s="803" t="n"/>
      <c r="H32" s="803" t="n"/>
      <c r="I32" s="803" t="n"/>
      <c r="J32" s="803" t="n"/>
      <c r="K32" s="803" t="n"/>
      <c r="L32" s="803" t="n"/>
      <c r="M32" s="803" t="n"/>
      <c r="N32" s="803" t="n"/>
      <c r="O32" s="803" t="n"/>
      <c r="P32" s="803" t="n"/>
      <c r="Q32" s="803" t="n"/>
      <c r="R32" s="803" t="n"/>
      <c r="S32" s="803" t="n"/>
      <c r="T32" s="803" t="n"/>
      <c r="U32" s="803" t="n"/>
      <c r="V32" s="803" t="n"/>
      <c r="W32" s="803" t="n"/>
      <c r="X32" s="803" t="n"/>
      <c r="Y32" s="803" t="n"/>
      <c r="Z32" s="803" t="n"/>
    </row>
    <row r="33">
      <c r="A33" s="804" t="n"/>
      <c r="B33" s="804" t="n"/>
      <c r="C33" s="804" t="n"/>
      <c r="D33" s="787" t="n"/>
      <c r="E33" s="787" t="n"/>
      <c r="F33" s="804" t="n"/>
      <c r="G33" s="804" t="n"/>
      <c r="H33" s="804" t="n"/>
      <c r="I33" s="804" t="n"/>
      <c r="J33" s="804" t="n"/>
      <c r="K33" s="804" t="n"/>
      <c r="L33" s="804" t="n"/>
      <c r="M33" s="804" t="n"/>
      <c r="N33" s="804" t="n"/>
      <c r="O33" s="804" t="n"/>
      <c r="P33" s="804" t="n"/>
      <c r="Q33" s="804" t="n"/>
      <c r="R33" s="804" t="n"/>
      <c r="S33" s="804" t="n"/>
      <c r="T33" s="804" t="n"/>
      <c r="U33" s="804" t="n"/>
      <c r="V33" s="804" t="n"/>
      <c r="W33" s="804" t="n"/>
      <c r="X33" s="804" t="n"/>
      <c r="Y33" s="804" t="n"/>
      <c r="Z33" s="804" t="n"/>
    </row>
  </sheetData>
  <mergeCells count="7">
    <mergeCell ref="B16:C16"/>
    <mergeCell ref="L7:M7"/>
    <mergeCell ref="D7:E7"/>
    <mergeCell ref="B7:C7"/>
    <mergeCell ref="H7:I7"/>
    <mergeCell ref="J7:K7"/>
    <mergeCell ref="F7:G7"/>
  </mergeCells>
  <printOptions gridLinesSet="0"/>
  <pageMargins left="1.25" right="0.5" top="1" bottom="1" header="0.5" footer="0.5"/>
  <pageSetup orientation="portrait" scale="67" horizontalDpi="4294967292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40"/>
  <sheetViews>
    <sheetView showGridLines="0" workbookViewId="0">
      <selection activeCell="F40" sqref="F40"/>
    </sheetView>
  </sheetViews>
  <sheetFormatPr baseColWidth="8" defaultRowHeight="13.9"/>
  <cols>
    <col width="13.375" customWidth="1" style="452" min="1" max="1"/>
    <col width="4.75" customWidth="1" style="452" min="2" max="2"/>
    <col width="5" customWidth="1" style="452" min="3" max="3"/>
    <col width="8.125" customWidth="1" style="452" min="4" max="4"/>
    <col width="10.625" customWidth="1" style="452" min="5" max="5"/>
    <col width="12.875" customWidth="1" style="452" min="6" max="6"/>
    <col width="12.625" customWidth="1" style="452" min="7" max="7"/>
    <col width="9" customWidth="1" style="452" min="8" max="8"/>
    <col width="9.3125" bestFit="1" customWidth="1" style="452" min="9" max="9"/>
    <col width="9" customWidth="1" style="452" min="10" max="10"/>
    <col width="10.25" customWidth="1" style="452" min="11" max="11"/>
    <col width="9" customWidth="1" style="452" min="12" max="254"/>
    <col width="15" customWidth="1" style="452" min="255" max="255"/>
    <col width="6.375" customWidth="1" style="452" min="256" max="256"/>
    <col width="5.25" customWidth="1" style="452" min="257" max="257"/>
    <col width="7.25" customWidth="1" style="452" min="258" max="258"/>
    <col width="10.25" customWidth="1" style="452" min="259" max="259"/>
    <col width="8.625" customWidth="1" style="452" min="260" max="260"/>
    <col width="12.625" customWidth="1" style="452" min="261" max="261"/>
    <col width="10.75" customWidth="1" style="452" min="262" max="262"/>
    <col width="9" customWidth="1" style="452" min="263" max="510"/>
    <col width="15" customWidth="1" style="452" min="511" max="511"/>
    <col width="6.375" customWidth="1" style="452" min="512" max="512"/>
    <col width="5.25" customWidth="1" style="452" min="513" max="513"/>
    <col width="7.25" customWidth="1" style="452" min="514" max="514"/>
    <col width="10.25" customWidth="1" style="452" min="515" max="515"/>
    <col width="8.625" customWidth="1" style="452" min="516" max="516"/>
    <col width="12.625" customWidth="1" style="452" min="517" max="517"/>
    <col width="10.75" customWidth="1" style="452" min="518" max="518"/>
    <col width="9" customWidth="1" style="452" min="519" max="766"/>
    <col width="15" customWidth="1" style="452" min="767" max="767"/>
    <col width="6.375" customWidth="1" style="452" min="768" max="768"/>
    <col width="5.25" customWidth="1" style="452" min="769" max="769"/>
    <col width="7.25" customWidth="1" style="452" min="770" max="770"/>
    <col width="10.25" customWidth="1" style="452" min="771" max="771"/>
    <col width="8.625" customWidth="1" style="452" min="772" max="772"/>
    <col width="12.625" customWidth="1" style="452" min="773" max="773"/>
    <col width="10.75" customWidth="1" style="452" min="774" max="774"/>
    <col width="9" customWidth="1" style="452" min="775" max="1022"/>
    <col width="15" customWidth="1" style="452" min="1023" max="1023"/>
    <col width="6.375" customWidth="1" style="452" min="1024" max="1024"/>
    <col width="5.25" customWidth="1" style="452" min="1025" max="1025"/>
    <col width="7.25" customWidth="1" style="452" min="1026" max="1026"/>
    <col width="10.25" customWidth="1" style="452" min="1027" max="1027"/>
    <col width="8.625" customWidth="1" style="452" min="1028" max="1028"/>
    <col width="12.625" customWidth="1" style="452" min="1029" max="1029"/>
    <col width="10.75" customWidth="1" style="452" min="1030" max="1030"/>
    <col width="9" customWidth="1" style="452" min="1031" max="1278"/>
    <col width="15" customWidth="1" style="452" min="1279" max="1279"/>
    <col width="6.375" customWidth="1" style="452" min="1280" max="1280"/>
    <col width="5.25" customWidth="1" style="452" min="1281" max="1281"/>
    <col width="7.25" customWidth="1" style="452" min="1282" max="1282"/>
    <col width="10.25" customWidth="1" style="452" min="1283" max="1283"/>
    <col width="8.625" customWidth="1" style="452" min="1284" max="1284"/>
    <col width="12.625" customWidth="1" style="452" min="1285" max="1285"/>
    <col width="10.75" customWidth="1" style="452" min="1286" max="1286"/>
    <col width="9" customWidth="1" style="452" min="1287" max="1534"/>
    <col width="15" customWidth="1" style="452" min="1535" max="1535"/>
    <col width="6.375" customWidth="1" style="452" min="1536" max="1536"/>
    <col width="5.25" customWidth="1" style="452" min="1537" max="1537"/>
    <col width="7.25" customWidth="1" style="452" min="1538" max="1538"/>
    <col width="10.25" customWidth="1" style="452" min="1539" max="1539"/>
    <col width="8.625" customWidth="1" style="452" min="1540" max="1540"/>
    <col width="12.625" customWidth="1" style="452" min="1541" max="1541"/>
    <col width="10.75" customWidth="1" style="452" min="1542" max="1542"/>
    <col width="9" customWidth="1" style="452" min="1543" max="1790"/>
    <col width="15" customWidth="1" style="452" min="1791" max="1791"/>
    <col width="6.375" customWidth="1" style="452" min="1792" max="1792"/>
    <col width="5.25" customWidth="1" style="452" min="1793" max="1793"/>
    <col width="7.25" customWidth="1" style="452" min="1794" max="1794"/>
    <col width="10.25" customWidth="1" style="452" min="1795" max="1795"/>
    <col width="8.625" customWidth="1" style="452" min="1796" max="1796"/>
    <col width="12.625" customWidth="1" style="452" min="1797" max="1797"/>
    <col width="10.75" customWidth="1" style="452" min="1798" max="1798"/>
    <col width="9" customWidth="1" style="452" min="1799" max="2046"/>
    <col width="15" customWidth="1" style="452" min="2047" max="2047"/>
    <col width="6.375" customWidth="1" style="452" min="2048" max="2048"/>
    <col width="5.25" customWidth="1" style="452" min="2049" max="2049"/>
    <col width="7.25" customWidth="1" style="452" min="2050" max="2050"/>
    <col width="10.25" customWidth="1" style="452" min="2051" max="2051"/>
    <col width="8.625" customWidth="1" style="452" min="2052" max="2052"/>
    <col width="12.625" customWidth="1" style="452" min="2053" max="2053"/>
    <col width="10.75" customWidth="1" style="452" min="2054" max="2054"/>
    <col width="9" customWidth="1" style="452" min="2055" max="2302"/>
    <col width="15" customWidth="1" style="452" min="2303" max="2303"/>
    <col width="6.375" customWidth="1" style="452" min="2304" max="2304"/>
    <col width="5.25" customWidth="1" style="452" min="2305" max="2305"/>
    <col width="7.25" customWidth="1" style="452" min="2306" max="2306"/>
    <col width="10.25" customWidth="1" style="452" min="2307" max="2307"/>
    <col width="8.625" customWidth="1" style="452" min="2308" max="2308"/>
    <col width="12.625" customWidth="1" style="452" min="2309" max="2309"/>
    <col width="10.75" customWidth="1" style="452" min="2310" max="2310"/>
    <col width="9" customWidth="1" style="452" min="2311" max="2558"/>
    <col width="15" customWidth="1" style="452" min="2559" max="2559"/>
    <col width="6.375" customWidth="1" style="452" min="2560" max="2560"/>
    <col width="5.25" customWidth="1" style="452" min="2561" max="2561"/>
    <col width="7.25" customWidth="1" style="452" min="2562" max="2562"/>
    <col width="10.25" customWidth="1" style="452" min="2563" max="2563"/>
    <col width="8.625" customWidth="1" style="452" min="2564" max="2564"/>
    <col width="12.625" customWidth="1" style="452" min="2565" max="2565"/>
    <col width="10.75" customWidth="1" style="452" min="2566" max="2566"/>
    <col width="9" customWidth="1" style="452" min="2567" max="2814"/>
    <col width="15" customWidth="1" style="452" min="2815" max="2815"/>
    <col width="6.375" customWidth="1" style="452" min="2816" max="2816"/>
    <col width="5.25" customWidth="1" style="452" min="2817" max="2817"/>
    <col width="7.25" customWidth="1" style="452" min="2818" max="2818"/>
    <col width="10.25" customWidth="1" style="452" min="2819" max="2819"/>
    <col width="8.625" customWidth="1" style="452" min="2820" max="2820"/>
    <col width="12.625" customWidth="1" style="452" min="2821" max="2821"/>
    <col width="10.75" customWidth="1" style="452" min="2822" max="2822"/>
    <col width="9" customWidth="1" style="452" min="2823" max="3070"/>
    <col width="15" customWidth="1" style="452" min="3071" max="3071"/>
    <col width="6.375" customWidth="1" style="452" min="3072" max="3072"/>
    <col width="5.25" customWidth="1" style="452" min="3073" max="3073"/>
    <col width="7.25" customWidth="1" style="452" min="3074" max="3074"/>
    <col width="10.25" customWidth="1" style="452" min="3075" max="3075"/>
    <col width="8.625" customWidth="1" style="452" min="3076" max="3076"/>
    <col width="12.625" customWidth="1" style="452" min="3077" max="3077"/>
    <col width="10.75" customWidth="1" style="452" min="3078" max="3078"/>
    <col width="9" customWidth="1" style="452" min="3079" max="3326"/>
    <col width="15" customWidth="1" style="452" min="3327" max="3327"/>
    <col width="6.375" customWidth="1" style="452" min="3328" max="3328"/>
    <col width="5.25" customWidth="1" style="452" min="3329" max="3329"/>
    <col width="7.25" customWidth="1" style="452" min="3330" max="3330"/>
    <col width="10.25" customWidth="1" style="452" min="3331" max="3331"/>
    <col width="8.625" customWidth="1" style="452" min="3332" max="3332"/>
    <col width="12.625" customWidth="1" style="452" min="3333" max="3333"/>
    <col width="10.75" customWidth="1" style="452" min="3334" max="3334"/>
    <col width="9" customWidth="1" style="452" min="3335" max="3582"/>
    <col width="15" customWidth="1" style="452" min="3583" max="3583"/>
    <col width="6.375" customWidth="1" style="452" min="3584" max="3584"/>
    <col width="5.25" customWidth="1" style="452" min="3585" max="3585"/>
    <col width="7.25" customWidth="1" style="452" min="3586" max="3586"/>
    <col width="10.25" customWidth="1" style="452" min="3587" max="3587"/>
    <col width="8.625" customWidth="1" style="452" min="3588" max="3588"/>
    <col width="12.625" customWidth="1" style="452" min="3589" max="3589"/>
    <col width="10.75" customWidth="1" style="452" min="3590" max="3590"/>
    <col width="9" customWidth="1" style="452" min="3591" max="3838"/>
    <col width="15" customWidth="1" style="452" min="3839" max="3839"/>
    <col width="6.375" customWidth="1" style="452" min="3840" max="3840"/>
    <col width="5.25" customWidth="1" style="452" min="3841" max="3841"/>
    <col width="7.25" customWidth="1" style="452" min="3842" max="3842"/>
    <col width="10.25" customWidth="1" style="452" min="3843" max="3843"/>
    <col width="8.625" customWidth="1" style="452" min="3844" max="3844"/>
    <col width="12.625" customWidth="1" style="452" min="3845" max="3845"/>
    <col width="10.75" customWidth="1" style="452" min="3846" max="3846"/>
    <col width="9" customWidth="1" style="452" min="3847" max="4094"/>
    <col width="15" customWidth="1" style="452" min="4095" max="4095"/>
    <col width="6.375" customWidth="1" style="452" min="4096" max="4096"/>
    <col width="5.25" customWidth="1" style="452" min="4097" max="4097"/>
    <col width="7.25" customWidth="1" style="452" min="4098" max="4098"/>
    <col width="10.25" customWidth="1" style="452" min="4099" max="4099"/>
    <col width="8.625" customWidth="1" style="452" min="4100" max="4100"/>
    <col width="12.625" customWidth="1" style="452" min="4101" max="4101"/>
    <col width="10.75" customWidth="1" style="452" min="4102" max="4102"/>
    <col width="9" customWidth="1" style="452" min="4103" max="4350"/>
    <col width="15" customWidth="1" style="452" min="4351" max="4351"/>
    <col width="6.375" customWidth="1" style="452" min="4352" max="4352"/>
    <col width="5.25" customWidth="1" style="452" min="4353" max="4353"/>
    <col width="7.25" customWidth="1" style="452" min="4354" max="4354"/>
    <col width="10.25" customWidth="1" style="452" min="4355" max="4355"/>
    <col width="8.625" customWidth="1" style="452" min="4356" max="4356"/>
    <col width="12.625" customWidth="1" style="452" min="4357" max="4357"/>
    <col width="10.75" customWidth="1" style="452" min="4358" max="4358"/>
    <col width="9" customWidth="1" style="452" min="4359" max="4606"/>
    <col width="15" customWidth="1" style="452" min="4607" max="4607"/>
    <col width="6.375" customWidth="1" style="452" min="4608" max="4608"/>
    <col width="5.25" customWidth="1" style="452" min="4609" max="4609"/>
    <col width="7.25" customWidth="1" style="452" min="4610" max="4610"/>
    <col width="10.25" customWidth="1" style="452" min="4611" max="4611"/>
    <col width="8.625" customWidth="1" style="452" min="4612" max="4612"/>
    <col width="12.625" customWidth="1" style="452" min="4613" max="4613"/>
    <col width="10.75" customWidth="1" style="452" min="4614" max="4614"/>
    <col width="9" customWidth="1" style="452" min="4615" max="4862"/>
    <col width="15" customWidth="1" style="452" min="4863" max="4863"/>
    <col width="6.375" customWidth="1" style="452" min="4864" max="4864"/>
    <col width="5.25" customWidth="1" style="452" min="4865" max="4865"/>
    <col width="7.25" customWidth="1" style="452" min="4866" max="4866"/>
    <col width="10.25" customWidth="1" style="452" min="4867" max="4867"/>
    <col width="8.625" customWidth="1" style="452" min="4868" max="4868"/>
    <col width="12.625" customWidth="1" style="452" min="4869" max="4869"/>
    <col width="10.75" customWidth="1" style="452" min="4870" max="4870"/>
    <col width="9" customWidth="1" style="452" min="4871" max="5118"/>
    <col width="15" customWidth="1" style="452" min="5119" max="5119"/>
    <col width="6.375" customWidth="1" style="452" min="5120" max="5120"/>
    <col width="5.25" customWidth="1" style="452" min="5121" max="5121"/>
    <col width="7.25" customWidth="1" style="452" min="5122" max="5122"/>
    <col width="10.25" customWidth="1" style="452" min="5123" max="5123"/>
    <col width="8.625" customWidth="1" style="452" min="5124" max="5124"/>
    <col width="12.625" customWidth="1" style="452" min="5125" max="5125"/>
    <col width="10.75" customWidth="1" style="452" min="5126" max="5126"/>
    <col width="9" customWidth="1" style="452" min="5127" max="5374"/>
    <col width="15" customWidth="1" style="452" min="5375" max="5375"/>
    <col width="6.375" customWidth="1" style="452" min="5376" max="5376"/>
    <col width="5.25" customWidth="1" style="452" min="5377" max="5377"/>
    <col width="7.25" customWidth="1" style="452" min="5378" max="5378"/>
    <col width="10.25" customWidth="1" style="452" min="5379" max="5379"/>
    <col width="8.625" customWidth="1" style="452" min="5380" max="5380"/>
    <col width="12.625" customWidth="1" style="452" min="5381" max="5381"/>
    <col width="10.75" customWidth="1" style="452" min="5382" max="5382"/>
    <col width="9" customWidth="1" style="452" min="5383" max="5630"/>
    <col width="15" customWidth="1" style="452" min="5631" max="5631"/>
    <col width="6.375" customWidth="1" style="452" min="5632" max="5632"/>
    <col width="5.25" customWidth="1" style="452" min="5633" max="5633"/>
    <col width="7.25" customWidth="1" style="452" min="5634" max="5634"/>
    <col width="10.25" customWidth="1" style="452" min="5635" max="5635"/>
    <col width="8.625" customWidth="1" style="452" min="5636" max="5636"/>
    <col width="12.625" customWidth="1" style="452" min="5637" max="5637"/>
    <col width="10.75" customWidth="1" style="452" min="5638" max="5638"/>
    <col width="9" customWidth="1" style="452" min="5639" max="5886"/>
    <col width="15" customWidth="1" style="452" min="5887" max="5887"/>
    <col width="6.375" customWidth="1" style="452" min="5888" max="5888"/>
    <col width="5.25" customWidth="1" style="452" min="5889" max="5889"/>
    <col width="7.25" customWidth="1" style="452" min="5890" max="5890"/>
    <col width="10.25" customWidth="1" style="452" min="5891" max="5891"/>
    <col width="8.625" customWidth="1" style="452" min="5892" max="5892"/>
    <col width="12.625" customWidth="1" style="452" min="5893" max="5893"/>
    <col width="10.75" customWidth="1" style="452" min="5894" max="5894"/>
    <col width="9" customWidth="1" style="452" min="5895" max="6142"/>
    <col width="15" customWidth="1" style="452" min="6143" max="6143"/>
    <col width="6.375" customWidth="1" style="452" min="6144" max="6144"/>
    <col width="5.25" customWidth="1" style="452" min="6145" max="6145"/>
    <col width="7.25" customWidth="1" style="452" min="6146" max="6146"/>
    <col width="10.25" customWidth="1" style="452" min="6147" max="6147"/>
    <col width="8.625" customWidth="1" style="452" min="6148" max="6148"/>
    <col width="12.625" customWidth="1" style="452" min="6149" max="6149"/>
    <col width="10.75" customWidth="1" style="452" min="6150" max="6150"/>
    <col width="9" customWidth="1" style="452" min="6151" max="6398"/>
    <col width="15" customWidth="1" style="452" min="6399" max="6399"/>
    <col width="6.375" customWidth="1" style="452" min="6400" max="6400"/>
    <col width="5.25" customWidth="1" style="452" min="6401" max="6401"/>
    <col width="7.25" customWidth="1" style="452" min="6402" max="6402"/>
    <col width="10.25" customWidth="1" style="452" min="6403" max="6403"/>
    <col width="8.625" customWidth="1" style="452" min="6404" max="6404"/>
    <col width="12.625" customWidth="1" style="452" min="6405" max="6405"/>
    <col width="10.75" customWidth="1" style="452" min="6406" max="6406"/>
    <col width="9" customWidth="1" style="452" min="6407" max="6654"/>
    <col width="15" customWidth="1" style="452" min="6655" max="6655"/>
    <col width="6.375" customWidth="1" style="452" min="6656" max="6656"/>
    <col width="5.25" customWidth="1" style="452" min="6657" max="6657"/>
    <col width="7.25" customWidth="1" style="452" min="6658" max="6658"/>
    <col width="10.25" customWidth="1" style="452" min="6659" max="6659"/>
    <col width="8.625" customWidth="1" style="452" min="6660" max="6660"/>
    <col width="12.625" customWidth="1" style="452" min="6661" max="6661"/>
    <col width="10.75" customWidth="1" style="452" min="6662" max="6662"/>
    <col width="9" customWidth="1" style="452" min="6663" max="6910"/>
    <col width="15" customWidth="1" style="452" min="6911" max="6911"/>
    <col width="6.375" customWidth="1" style="452" min="6912" max="6912"/>
    <col width="5.25" customWidth="1" style="452" min="6913" max="6913"/>
    <col width="7.25" customWidth="1" style="452" min="6914" max="6914"/>
    <col width="10.25" customWidth="1" style="452" min="6915" max="6915"/>
    <col width="8.625" customWidth="1" style="452" min="6916" max="6916"/>
    <col width="12.625" customWidth="1" style="452" min="6917" max="6917"/>
    <col width="10.75" customWidth="1" style="452" min="6918" max="6918"/>
    <col width="9" customWidth="1" style="452" min="6919" max="7166"/>
    <col width="15" customWidth="1" style="452" min="7167" max="7167"/>
    <col width="6.375" customWidth="1" style="452" min="7168" max="7168"/>
    <col width="5.25" customWidth="1" style="452" min="7169" max="7169"/>
    <col width="7.25" customWidth="1" style="452" min="7170" max="7170"/>
    <col width="10.25" customWidth="1" style="452" min="7171" max="7171"/>
    <col width="8.625" customWidth="1" style="452" min="7172" max="7172"/>
    <col width="12.625" customWidth="1" style="452" min="7173" max="7173"/>
    <col width="10.75" customWidth="1" style="452" min="7174" max="7174"/>
    <col width="9" customWidth="1" style="452" min="7175" max="7422"/>
    <col width="15" customWidth="1" style="452" min="7423" max="7423"/>
    <col width="6.375" customWidth="1" style="452" min="7424" max="7424"/>
    <col width="5.25" customWidth="1" style="452" min="7425" max="7425"/>
    <col width="7.25" customWidth="1" style="452" min="7426" max="7426"/>
    <col width="10.25" customWidth="1" style="452" min="7427" max="7427"/>
    <col width="8.625" customWidth="1" style="452" min="7428" max="7428"/>
    <col width="12.625" customWidth="1" style="452" min="7429" max="7429"/>
    <col width="10.75" customWidth="1" style="452" min="7430" max="7430"/>
    <col width="9" customWidth="1" style="452" min="7431" max="7678"/>
    <col width="15" customWidth="1" style="452" min="7679" max="7679"/>
    <col width="6.375" customWidth="1" style="452" min="7680" max="7680"/>
    <col width="5.25" customWidth="1" style="452" min="7681" max="7681"/>
    <col width="7.25" customWidth="1" style="452" min="7682" max="7682"/>
    <col width="10.25" customWidth="1" style="452" min="7683" max="7683"/>
    <col width="8.625" customWidth="1" style="452" min="7684" max="7684"/>
    <col width="12.625" customWidth="1" style="452" min="7685" max="7685"/>
    <col width="10.75" customWidth="1" style="452" min="7686" max="7686"/>
    <col width="9" customWidth="1" style="452" min="7687" max="7934"/>
    <col width="15" customWidth="1" style="452" min="7935" max="7935"/>
    <col width="6.375" customWidth="1" style="452" min="7936" max="7936"/>
    <col width="5.25" customWidth="1" style="452" min="7937" max="7937"/>
    <col width="7.25" customWidth="1" style="452" min="7938" max="7938"/>
    <col width="10.25" customWidth="1" style="452" min="7939" max="7939"/>
    <col width="8.625" customWidth="1" style="452" min="7940" max="7940"/>
    <col width="12.625" customWidth="1" style="452" min="7941" max="7941"/>
    <col width="10.75" customWidth="1" style="452" min="7942" max="7942"/>
    <col width="9" customWidth="1" style="452" min="7943" max="8190"/>
    <col width="15" customWidth="1" style="452" min="8191" max="8191"/>
    <col width="6.375" customWidth="1" style="452" min="8192" max="8192"/>
    <col width="5.25" customWidth="1" style="452" min="8193" max="8193"/>
    <col width="7.25" customWidth="1" style="452" min="8194" max="8194"/>
    <col width="10.25" customWidth="1" style="452" min="8195" max="8195"/>
    <col width="8.625" customWidth="1" style="452" min="8196" max="8196"/>
    <col width="12.625" customWidth="1" style="452" min="8197" max="8197"/>
    <col width="10.75" customWidth="1" style="452" min="8198" max="8198"/>
    <col width="9" customWidth="1" style="452" min="8199" max="8446"/>
    <col width="15" customWidth="1" style="452" min="8447" max="8447"/>
    <col width="6.375" customWidth="1" style="452" min="8448" max="8448"/>
    <col width="5.25" customWidth="1" style="452" min="8449" max="8449"/>
    <col width="7.25" customWidth="1" style="452" min="8450" max="8450"/>
    <col width="10.25" customWidth="1" style="452" min="8451" max="8451"/>
    <col width="8.625" customWidth="1" style="452" min="8452" max="8452"/>
    <col width="12.625" customWidth="1" style="452" min="8453" max="8453"/>
    <col width="10.75" customWidth="1" style="452" min="8454" max="8454"/>
    <col width="9" customWidth="1" style="452" min="8455" max="8702"/>
    <col width="15" customWidth="1" style="452" min="8703" max="8703"/>
    <col width="6.375" customWidth="1" style="452" min="8704" max="8704"/>
    <col width="5.25" customWidth="1" style="452" min="8705" max="8705"/>
    <col width="7.25" customWidth="1" style="452" min="8706" max="8706"/>
    <col width="10.25" customWidth="1" style="452" min="8707" max="8707"/>
    <col width="8.625" customWidth="1" style="452" min="8708" max="8708"/>
    <col width="12.625" customWidth="1" style="452" min="8709" max="8709"/>
    <col width="10.75" customWidth="1" style="452" min="8710" max="8710"/>
    <col width="9" customWidth="1" style="452" min="8711" max="8958"/>
    <col width="15" customWidth="1" style="452" min="8959" max="8959"/>
    <col width="6.375" customWidth="1" style="452" min="8960" max="8960"/>
    <col width="5.25" customWidth="1" style="452" min="8961" max="8961"/>
    <col width="7.25" customWidth="1" style="452" min="8962" max="8962"/>
    <col width="10.25" customWidth="1" style="452" min="8963" max="8963"/>
    <col width="8.625" customWidth="1" style="452" min="8964" max="8964"/>
    <col width="12.625" customWidth="1" style="452" min="8965" max="8965"/>
    <col width="10.75" customWidth="1" style="452" min="8966" max="8966"/>
    <col width="9" customWidth="1" style="452" min="8967" max="9214"/>
    <col width="15" customWidth="1" style="452" min="9215" max="9215"/>
    <col width="6.375" customWidth="1" style="452" min="9216" max="9216"/>
    <col width="5.25" customWidth="1" style="452" min="9217" max="9217"/>
    <col width="7.25" customWidth="1" style="452" min="9218" max="9218"/>
    <col width="10.25" customWidth="1" style="452" min="9219" max="9219"/>
    <col width="8.625" customWidth="1" style="452" min="9220" max="9220"/>
    <col width="12.625" customWidth="1" style="452" min="9221" max="9221"/>
    <col width="10.75" customWidth="1" style="452" min="9222" max="9222"/>
    <col width="9" customWidth="1" style="452" min="9223" max="9470"/>
    <col width="15" customWidth="1" style="452" min="9471" max="9471"/>
    <col width="6.375" customWidth="1" style="452" min="9472" max="9472"/>
    <col width="5.25" customWidth="1" style="452" min="9473" max="9473"/>
    <col width="7.25" customWidth="1" style="452" min="9474" max="9474"/>
    <col width="10.25" customWidth="1" style="452" min="9475" max="9475"/>
    <col width="8.625" customWidth="1" style="452" min="9476" max="9476"/>
    <col width="12.625" customWidth="1" style="452" min="9477" max="9477"/>
    <col width="10.75" customWidth="1" style="452" min="9478" max="9478"/>
    <col width="9" customWidth="1" style="452" min="9479" max="9726"/>
    <col width="15" customWidth="1" style="452" min="9727" max="9727"/>
    <col width="6.375" customWidth="1" style="452" min="9728" max="9728"/>
    <col width="5.25" customWidth="1" style="452" min="9729" max="9729"/>
    <col width="7.25" customWidth="1" style="452" min="9730" max="9730"/>
    <col width="10.25" customWidth="1" style="452" min="9731" max="9731"/>
    <col width="8.625" customWidth="1" style="452" min="9732" max="9732"/>
    <col width="12.625" customWidth="1" style="452" min="9733" max="9733"/>
    <col width="10.75" customWidth="1" style="452" min="9734" max="9734"/>
    <col width="9" customWidth="1" style="452" min="9735" max="9982"/>
    <col width="15" customWidth="1" style="452" min="9983" max="9983"/>
    <col width="6.375" customWidth="1" style="452" min="9984" max="9984"/>
    <col width="5.25" customWidth="1" style="452" min="9985" max="9985"/>
    <col width="7.25" customWidth="1" style="452" min="9986" max="9986"/>
    <col width="10.25" customWidth="1" style="452" min="9987" max="9987"/>
    <col width="8.625" customWidth="1" style="452" min="9988" max="9988"/>
    <col width="12.625" customWidth="1" style="452" min="9989" max="9989"/>
    <col width="10.75" customWidth="1" style="452" min="9990" max="9990"/>
    <col width="9" customWidth="1" style="452" min="9991" max="10238"/>
    <col width="15" customWidth="1" style="452" min="10239" max="10239"/>
    <col width="6.375" customWidth="1" style="452" min="10240" max="10240"/>
    <col width="5.25" customWidth="1" style="452" min="10241" max="10241"/>
    <col width="7.25" customWidth="1" style="452" min="10242" max="10242"/>
    <col width="10.25" customWidth="1" style="452" min="10243" max="10243"/>
    <col width="8.625" customWidth="1" style="452" min="10244" max="10244"/>
    <col width="12.625" customWidth="1" style="452" min="10245" max="10245"/>
    <col width="10.75" customWidth="1" style="452" min="10246" max="10246"/>
    <col width="9" customWidth="1" style="452" min="10247" max="10494"/>
    <col width="15" customWidth="1" style="452" min="10495" max="10495"/>
    <col width="6.375" customWidth="1" style="452" min="10496" max="10496"/>
    <col width="5.25" customWidth="1" style="452" min="10497" max="10497"/>
    <col width="7.25" customWidth="1" style="452" min="10498" max="10498"/>
    <col width="10.25" customWidth="1" style="452" min="10499" max="10499"/>
    <col width="8.625" customWidth="1" style="452" min="10500" max="10500"/>
    <col width="12.625" customWidth="1" style="452" min="10501" max="10501"/>
    <col width="10.75" customWidth="1" style="452" min="10502" max="10502"/>
    <col width="9" customWidth="1" style="452" min="10503" max="10750"/>
    <col width="15" customWidth="1" style="452" min="10751" max="10751"/>
    <col width="6.375" customWidth="1" style="452" min="10752" max="10752"/>
    <col width="5.25" customWidth="1" style="452" min="10753" max="10753"/>
    <col width="7.25" customWidth="1" style="452" min="10754" max="10754"/>
    <col width="10.25" customWidth="1" style="452" min="10755" max="10755"/>
    <col width="8.625" customWidth="1" style="452" min="10756" max="10756"/>
    <col width="12.625" customWidth="1" style="452" min="10757" max="10757"/>
    <col width="10.75" customWidth="1" style="452" min="10758" max="10758"/>
    <col width="9" customWidth="1" style="452" min="10759" max="11006"/>
    <col width="15" customWidth="1" style="452" min="11007" max="11007"/>
    <col width="6.375" customWidth="1" style="452" min="11008" max="11008"/>
    <col width="5.25" customWidth="1" style="452" min="11009" max="11009"/>
    <col width="7.25" customWidth="1" style="452" min="11010" max="11010"/>
    <col width="10.25" customWidth="1" style="452" min="11011" max="11011"/>
    <col width="8.625" customWidth="1" style="452" min="11012" max="11012"/>
    <col width="12.625" customWidth="1" style="452" min="11013" max="11013"/>
    <col width="10.75" customWidth="1" style="452" min="11014" max="11014"/>
    <col width="9" customWidth="1" style="452" min="11015" max="11262"/>
    <col width="15" customWidth="1" style="452" min="11263" max="11263"/>
    <col width="6.375" customWidth="1" style="452" min="11264" max="11264"/>
    <col width="5.25" customWidth="1" style="452" min="11265" max="11265"/>
    <col width="7.25" customWidth="1" style="452" min="11266" max="11266"/>
    <col width="10.25" customWidth="1" style="452" min="11267" max="11267"/>
    <col width="8.625" customWidth="1" style="452" min="11268" max="11268"/>
    <col width="12.625" customWidth="1" style="452" min="11269" max="11269"/>
    <col width="10.75" customWidth="1" style="452" min="11270" max="11270"/>
    <col width="9" customWidth="1" style="452" min="11271" max="11518"/>
    <col width="15" customWidth="1" style="452" min="11519" max="11519"/>
    <col width="6.375" customWidth="1" style="452" min="11520" max="11520"/>
    <col width="5.25" customWidth="1" style="452" min="11521" max="11521"/>
    <col width="7.25" customWidth="1" style="452" min="11522" max="11522"/>
    <col width="10.25" customWidth="1" style="452" min="11523" max="11523"/>
    <col width="8.625" customWidth="1" style="452" min="11524" max="11524"/>
    <col width="12.625" customWidth="1" style="452" min="11525" max="11525"/>
    <col width="10.75" customWidth="1" style="452" min="11526" max="11526"/>
    <col width="9" customWidth="1" style="452" min="11527" max="11774"/>
    <col width="15" customWidth="1" style="452" min="11775" max="11775"/>
    <col width="6.375" customWidth="1" style="452" min="11776" max="11776"/>
    <col width="5.25" customWidth="1" style="452" min="11777" max="11777"/>
    <col width="7.25" customWidth="1" style="452" min="11778" max="11778"/>
    <col width="10.25" customWidth="1" style="452" min="11779" max="11779"/>
    <col width="8.625" customWidth="1" style="452" min="11780" max="11780"/>
    <col width="12.625" customWidth="1" style="452" min="11781" max="11781"/>
    <col width="10.75" customWidth="1" style="452" min="11782" max="11782"/>
    <col width="9" customWidth="1" style="452" min="11783" max="12030"/>
    <col width="15" customWidth="1" style="452" min="12031" max="12031"/>
    <col width="6.375" customWidth="1" style="452" min="12032" max="12032"/>
    <col width="5.25" customWidth="1" style="452" min="12033" max="12033"/>
    <col width="7.25" customWidth="1" style="452" min="12034" max="12034"/>
    <col width="10.25" customWidth="1" style="452" min="12035" max="12035"/>
    <col width="8.625" customWidth="1" style="452" min="12036" max="12036"/>
    <col width="12.625" customWidth="1" style="452" min="12037" max="12037"/>
    <col width="10.75" customWidth="1" style="452" min="12038" max="12038"/>
    <col width="9" customWidth="1" style="452" min="12039" max="12286"/>
    <col width="15" customWidth="1" style="452" min="12287" max="12287"/>
    <col width="6.375" customWidth="1" style="452" min="12288" max="12288"/>
    <col width="5.25" customWidth="1" style="452" min="12289" max="12289"/>
    <col width="7.25" customWidth="1" style="452" min="12290" max="12290"/>
    <col width="10.25" customWidth="1" style="452" min="12291" max="12291"/>
    <col width="8.625" customWidth="1" style="452" min="12292" max="12292"/>
    <col width="12.625" customWidth="1" style="452" min="12293" max="12293"/>
    <col width="10.75" customWidth="1" style="452" min="12294" max="12294"/>
    <col width="9" customWidth="1" style="452" min="12295" max="12542"/>
    <col width="15" customWidth="1" style="452" min="12543" max="12543"/>
    <col width="6.375" customWidth="1" style="452" min="12544" max="12544"/>
    <col width="5.25" customWidth="1" style="452" min="12545" max="12545"/>
    <col width="7.25" customWidth="1" style="452" min="12546" max="12546"/>
    <col width="10.25" customWidth="1" style="452" min="12547" max="12547"/>
    <col width="8.625" customWidth="1" style="452" min="12548" max="12548"/>
    <col width="12.625" customWidth="1" style="452" min="12549" max="12549"/>
    <col width="10.75" customWidth="1" style="452" min="12550" max="12550"/>
    <col width="9" customWidth="1" style="452" min="12551" max="12798"/>
    <col width="15" customWidth="1" style="452" min="12799" max="12799"/>
    <col width="6.375" customWidth="1" style="452" min="12800" max="12800"/>
    <col width="5.25" customWidth="1" style="452" min="12801" max="12801"/>
    <col width="7.25" customWidth="1" style="452" min="12802" max="12802"/>
    <col width="10.25" customWidth="1" style="452" min="12803" max="12803"/>
    <col width="8.625" customWidth="1" style="452" min="12804" max="12804"/>
    <col width="12.625" customWidth="1" style="452" min="12805" max="12805"/>
    <col width="10.75" customWidth="1" style="452" min="12806" max="12806"/>
    <col width="9" customWidth="1" style="452" min="12807" max="13054"/>
    <col width="15" customWidth="1" style="452" min="13055" max="13055"/>
    <col width="6.375" customWidth="1" style="452" min="13056" max="13056"/>
    <col width="5.25" customWidth="1" style="452" min="13057" max="13057"/>
    <col width="7.25" customWidth="1" style="452" min="13058" max="13058"/>
    <col width="10.25" customWidth="1" style="452" min="13059" max="13059"/>
    <col width="8.625" customWidth="1" style="452" min="13060" max="13060"/>
    <col width="12.625" customWidth="1" style="452" min="13061" max="13061"/>
    <col width="10.75" customWidth="1" style="452" min="13062" max="13062"/>
    <col width="9" customWidth="1" style="452" min="13063" max="13310"/>
    <col width="15" customWidth="1" style="452" min="13311" max="13311"/>
    <col width="6.375" customWidth="1" style="452" min="13312" max="13312"/>
    <col width="5.25" customWidth="1" style="452" min="13313" max="13313"/>
    <col width="7.25" customWidth="1" style="452" min="13314" max="13314"/>
    <col width="10.25" customWidth="1" style="452" min="13315" max="13315"/>
    <col width="8.625" customWidth="1" style="452" min="13316" max="13316"/>
    <col width="12.625" customWidth="1" style="452" min="13317" max="13317"/>
    <col width="10.75" customWidth="1" style="452" min="13318" max="13318"/>
    <col width="9" customWidth="1" style="452" min="13319" max="13566"/>
    <col width="15" customWidth="1" style="452" min="13567" max="13567"/>
    <col width="6.375" customWidth="1" style="452" min="13568" max="13568"/>
    <col width="5.25" customWidth="1" style="452" min="13569" max="13569"/>
    <col width="7.25" customWidth="1" style="452" min="13570" max="13570"/>
    <col width="10.25" customWidth="1" style="452" min="13571" max="13571"/>
    <col width="8.625" customWidth="1" style="452" min="13572" max="13572"/>
    <col width="12.625" customWidth="1" style="452" min="13573" max="13573"/>
    <col width="10.75" customWidth="1" style="452" min="13574" max="13574"/>
    <col width="9" customWidth="1" style="452" min="13575" max="13822"/>
    <col width="15" customWidth="1" style="452" min="13823" max="13823"/>
    <col width="6.375" customWidth="1" style="452" min="13824" max="13824"/>
    <col width="5.25" customWidth="1" style="452" min="13825" max="13825"/>
    <col width="7.25" customWidth="1" style="452" min="13826" max="13826"/>
    <col width="10.25" customWidth="1" style="452" min="13827" max="13827"/>
    <col width="8.625" customWidth="1" style="452" min="13828" max="13828"/>
    <col width="12.625" customWidth="1" style="452" min="13829" max="13829"/>
    <col width="10.75" customWidth="1" style="452" min="13830" max="13830"/>
    <col width="9" customWidth="1" style="452" min="13831" max="14078"/>
    <col width="15" customWidth="1" style="452" min="14079" max="14079"/>
    <col width="6.375" customWidth="1" style="452" min="14080" max="14080"/>
    <col width="5.25" customWidth="1" style="452" min="14081" max="14081"/>
    <col width="7.25" customWidth="1" style="452" min="14082" max="14082"/>
    <col width="10.25" customWidth="1" style="452" min="14083" max="14083"/>
    <col width="8.625" customWidth="1" style="452" min="14084" max="14084"/>
    <col width="12.625" customWidth="1" style="452" min="14085" max="14085"/>
    <col width="10.75" customWidth="1" style="452" min="14086" max="14086"/>
    <col width="9" customWidth="1" style="452" min="14087" max="14334"/>
    <col width="15" customWidth="1" style="452" min="14335" max="14335"/>
    <col width="6.375" customWidth="1" style="452" min="14336" max="14336"/>
    <col width="5.25" customWidth="1" style="452" min="14337" max="14337"/>
    <col width="7.25" customWidth="1" style="452" min="14338" max="14338"/>
    <col width="10.25" customWidth="1" style="452" min="14339" max="14339"/>
    <col width="8.625" customWidth="1" style="452" min="14340" max="14340"/>
    <col width="12.625" customWidth="1" style="452" min="14341" max="14341"/>
    <col width="10.75" customWidth="1" style="452" min="14342" max="14342"/>
    <col width="9" customWidth="1" style="452" min="14343" max="14590"/>
    <col width="15" customWidth="1" style="452" min="14591" max="14591"/>
    <col width="6.375" customWidth="1" style="452" min="14592" max="14592"/>
    <col width="5.25" customWidth="1" style="452" min="14593" max="14593"/>
    <col width="7.25" customWidth="1" style="452" min="14594" max="14594"/>
    <col width="10.25" customWidth="1" style="452" min="14595" max="14595"/>
    <col width="8.625" customWidth="1" style="452" min="14596" max="14596"/>
    <col width="12.625" customWidth="1" style="452" min="14597" max="14597"/>
    <col width="10.75" customWidth="1" style="452" min="14598" max="14598"/>
    <col width="9" customWidth="1" style="452" min="14599" max="14846"/>
    <col width="15" customWidth="1" style="452" min="14847" max="14847"/>
    <col width="6.375" customWidth="1" style="452" min="14848" max="14848"/>
    <col width="5.25" customWidth="1" style="452" min="14849" max="14849"/>
    <col width="7.25" customWidth="1" style="452" min="14850" max="14850"/>
    <col width="10.25" customWidth="1" style="452" min="14851" max="14851"/>
    <col width="8.625" customWidth="1" style="452" min="14852" max="14852"/>
    <col width="12.625" customWidth="1" style="452" min="14853" max="14853"/>
    <col width="10.75" customWidth="1" style="452" min="14854" max="14854"/>
    <col width="9" customWidth="1" style="452" min="14855" max="15102"/>
    <col width="15" customWidth="1" style="452" min="15103" max="15103"/>
    <col width="6.375" customWidth="1" style="452" min="15104" max="15104"/>
    <col width="5.25" customWidth="1" style="452" min="15105" max="15105"/>
    <col width="7.25" customWidth="1" style="452" min="15106" max="15106"/>
    <col width="10.25" customWidth="1" style="452" min="15107" max="15107"/>
    <col width="8.625" customWidth="1" style="452" min="15108" max="15108"/>
    <col width="12.625" customWidth="1" style="452" min="15109" max="15109"/>
    <col width="10.75" customWidth="1" style="452" min="15110" max="15110"/>
    <col width="9" customWidth="1" style="452" min="15111" max="15358"/>
    <col width="15" customWidth="1" style="452" min="15359" max="15359"/>
    <col width="6.375" customWidth="1" style="452" min="15360" max="15360"/>
    <col width="5.25" customWidth="1" style="452" min="15361" max="15361"/>
    <col width="7.25" customWidth="1" style="452" min="15362" max="15362"/>
    <col width="10.25" customWidth="1" style="452" min="15363" max="15363"/>
    <col width="8.625" customWidth="1" style="452" min="15364" max="15364"/>
    <col width="12.625" customWidth="1" style="452" min="15365" max="15365"/>
    <col width="10.75" customWidth="1" style="452" min="15366" max="15366"/>
    <col width="9" customWidth="1" style="452" min="15367" max="15614"/>
    <col width="15" customWidth="1" style="452" min="15615" max="15615"/>
    <col width="6.375" customWidth="1" style="452" min="15616" max="15616"/>
    <col width="5.25" customWidth="1" style="452" min="15617" max="15617"/>
    <col width="7.25" customWidth="1" style="452" min="15618" max="15618"/>
    <col width="10.25" customWidth="1" style="452" min="15619" max="15619"/>
    <col width="8.625" customWidth="1" style="452" min="15620" max="15620"/>
    <col width="12.625" customWidth="1" style="452" min="15621" max="15621"/>
    <col width="10.75" customWidth="1" style="452" min="15622" max="15622"/>
    <col width="9" customWidth="1" style="452" min="15623" max="15870"/>
    <col width="15" customWidth="1" style="452" min="15871" max="15871"/>
    <col width="6.375" customWidth="1" style="452" min="15872" max="15872"/>
    <col width="5.25" customWidth="1" style="452" min="15873" max="15873"/>
    <col width="7.25" customWidth="1" style="452" min="15874" max="15874"/>
    <col width="10.25" customWidth="1" style="452" min="15875" max="15875"/>
    <col width="8.625" customWidth="1" style="452" min="15876" max="15876"/>
    <col width="12.625" customWidth="1" style="452" min="15877" max="15877"/>
    <col width="10.75" customWidth="1" style="452" min="15878" max="15878"/>
    <col width="9" customWidth="1" style="452" min="15879" max="16126"/>
    <col width="15" customWidth="1" style="452" min="16127" max="16127"/>
    <col width="6.375" customWidth="1" style="452" min="16128" max="16128"/>
    <col width="5.25" customWidth="1" style="452" min="16129" max="16129"/>
    <col width="7.25" customWidth="1" style="452" min="16130" max="16130"/>
    <col width="10.25" customWidth="1" style="452" min="16131" max="16131"/>
    <col width="8.625" customWidth="1" style="452" min="16132" max="16132"/>
    <col width="12.625" customWidth="1" style="452" min="16133" max="16133"/>
    <col width="10.75" customWidth="1" style="452" min="16134" max="16134"/>
    <col width="9" customWidth="1" style="452" min="16135" max="16384"/>
  </cols>
  <sheetData>
    <row r="1">
      <c r="A1" s="805" t="inlineStr">
        <is>
          <t>Income Approach</t>
        </is>
      </c>
      <c r="B1" s="806" t="n"/>
      <c r="C1" s="806" t="n"/>
      <c r="D1" s="806" t="n"/>
      <c r="E1" s="806" t="n"/>
      <c r="F1" s="807" t="n"/>
      <c r="G1" s="127" t="n"/>
    </row>
    <row r="2" ht="7.9" customHeight="1" s="669">
      <c r="A2" s="451" t="n"/>
      <c r="B2" s="452" t="n"/>
      <c r="C2" s="452" t="n"/>
      <c r="D2" s="452" t="n"/>
      <c r="E2" s="452" t="n"/>
      <c r="F2" s="453" t="n"/>
    </row>
    <row r="3">
      <c r="A3" s="451" t="inlineStr">
        <is>
          <t>Potential Rental Income (PRI):</t>
        </is>
      </c>
      <c r="B3" s="452" t="n"/>
      <c r="C3" s="452" t="n"/>
      <c r="D3" s="452" t="n"/>
      <c r="E3" s="452" t="n"/>
      <c r="F3" s="453" t="n"/>
    </row>
    <row r="4">
      <c r="A4" s="451" t="inlineStr">
        <is>
          <t xml:space="preserve">      Retail Space:</t>
        </is>
      </c>
      <c r="B4" s="454">
        <f>'Imprvd Sales'!B9</f>
        <v/>
      </c>
      <c r="C4" s="455" t="inlineStr">
        <is>
          <t>SF @</t>
        </is>
      </c>
      <c r="D4" s="808" t="n">
        <v>0</v>
      </c>
      <c r="E4" s="455" t="inlineStr">
        <is>
          <t>per SF =</t>
        </is>
      </c>
      <c r="F4" s="809">
        <f>ROUND(B4*D4,0)</f>
        <v/>
      </c>
      <c r="H4" s="810">
        <f>115465/3299</f>
        <v/>
      </c>
    </row>
    <row r="5" ht="5.35" customHeight="1" s="669">
      <c r="A5" s="451" t="n"/>
      <c r="B5" s="454" t="n"/>
      <c r="C5" s="455" t="n"/>
      <c r="D5" s="808" t="n"/>
      <c r="E5" s="455" t="n"/>
      <c r="F5" s="809" t="n"/>
    </row>
    <row r="6">
      <c r="A6" s="458" t="inlineStr">
        <is>
          <t>Total Potential Rental Income:</t>
        </is>
      </c>
      <c r="B6" s="454" t="n"/>
      <c r="C6" s="455" t="n"/>
      <c r="D6" s="808" t="n"/>
      <c r="E6" s="452" t="n"/>
      <c r="F6" s="809">
        <f>SUM(F4:F4)</f>
        <v/>
      </c>
    </row>
    <row r="7">
      <c r="A7" s="459" t="inlineStr">
        <is>
          <t>Less Vacancy and Collection Allowance (5% of PRI)</t>
        </is>
      </c>
      <c r="B7" s="452" t="n"/>
      <c r="C7" s="452" t="n"/>
      <c r="D7" s="452" t="n"/>
      <c r="E7" s="452" t="n"/>
      <c r="F7" s="811">
        <f>ROUND(-F6*0.05,0)</f>
        <v/>
      </c>
    </row>
    <row r="8">
      <c r="A8" s="451" t="inlineStr">
        <is>
          <t>Effective Gross Rental Income (EGI):</t>
        </is>
      </c>
      <c r="B8" s="452" t="n"/>
      <c r="C8" s="452" t="n"/>
      <c r="D8" s="452" t="n"/>
      <c r="E8" s="452" t="n"/>
      <c r="F8" s="809">
        <f>+F6+F7</f>
        <v/>
      </c>
    </row>
    <row r="9">
      <c r="A9" s="461" t="inlineStr">
        <is>
          <t xml:space="preserve">Operating Expense Reimbursements </t>
        </is>
      </c>
      <c r="B9" s="452" t="n"/>
      <c r="C9" s="452" t="n"/>
      <c r="D9" s="452" t="n"/>
      <c r="E9" s="452" t="n"/>
      <c r="F9" s="809">
        <f>-SUM(F20,F13,F15,F16)</f>
        <v/>
      </c>
      <c r="H9" s="810">
        <f>F9/B4</f>
        <v/>
      </c>
    </row>
    <row r="10">
      <c r="A10" s="451" t="inlineStr">
        <is>
          <t>Gross Operating Income :</t>
        </is>
      </c>
      <c r="B10" s="452" t="n"/>
      <c r="C10" s="452" t="n"/>
      <c r="D10" s="452" t="n"/>
      <c r="E10" s="452" t="n"/>
      <c r="F10" s="809">
        <f>ROUND(F8+F9,0)</f>
        <v/>
      </c>
    </row>
    <row r="11">
      <c r="A11" s="451" t="n"/>
      <c r="B11" s="452" t="n"/>
      <c r="C11" s="452" t="n"/>
      <c r="D11" s="452" t="n"/>
      <c r="E11" s="452" t="n"/>
      <c r="F11" s="809" t="n"/>
    </row>
    <row r="12">
      <c r="A12" s="451" t="inlineStr">
        <is>
          <t>Less Expenses:</t>
        </is>
      </c>
      <c r="B12" s="452" t="n"/>
      <c r="C12" s="452" t="n"/>
      <c r="D12" s="462" t="n"/>
      <c r="E12" s="463" t="n"/>
      <c r="F12" s="809" t="n"/>
    </row>
    <row r="13">
      <c r="A13" s="451" t="inlineStr">
        <is>
          <t xml:space="preserve">    Insurance</t>
        </is>
      </c>
      <c r="B13" s="452" t="n"/>
      <c r="C13" s="452" t="n"/>
      <c r="D13" s="812">
        <f>-F13/$B$4</f>
        <v/>
      </c>
      <c r="E13" s="465" t="n"/>
      <c r="F13" s="813" t="n">
        <v>0</v>
      </c>
    </row>
    <row r="14">
      <c r="A14" s="451" t="inlineStr">
        <is>
          <t xml:space="preserve">    Utilities*</t>
        </is>
      </c>
      <c r="B14" s="452" t="n"/>
      <c r="C14" s="452" t="n"/>
      <c r="D14" s="812">
        <f>-F14/$B$4</f>
        <v/>
      </c>
      <c r="E14" s="465" t="n"/>
      <c r="F14" s="813" t="n">
        <v>0</v>
      </c>
    </row>
    <row r="15">
      <c r="A15" s="451" t="inlineStr">
        <is>
          <t xml:space="preserve">    CAM</t>
        </is>
      </c>
      <c r="B15" s="452" t="n"/>
      <c r="C15" s="452" t="n"/>
      <c r="D15" s="814">
        <f>-F15/$B$4</f>
        <v/>
      </c>
      <c r="E15" s="465" t="n"/>
      <c r="F15" s="813" t="n">
        <v>0</v>
      </c>
    </row>
    <row r="16">
      <c r="A16" s="468" t="inlineStr">
        <is>
          <t xml:space="preserve">    Management (5% of EGI)</t>
        </is>
      </c>
      <c r="B16" s="452" t="n"/>
      <c r="C16" s="452" t="n"/>
      <c r="D16" s="814">
        <f>-F16/$B$4</f>
        <v/>
      </c>
      <c r="E16" s="465" t="n"/>
      <c r="F16" s="813">
        <f>-F8*0.05</f>
        <v/>
      </c>
    </row>
    <row r="17">
      <c r="A17" s="451" t="inlineStr">
        <is>
          <t xml:space="preserve">    Reserves</t>
        </is>
      </c>
      <c r="B17" s="452" t="n"/>
      <c r="C17" s="452" t="n"/>
      <c r="D17" s="812">
        <f>-F17/$B$4</f>
        <v/>
      </c>
      <c r="E17" s="465" t="n"/>
      <c r="F17" s="815" t="n">
        <v>0</v>
      </c>
    </row>
    <row r="18" ht="15.4" customHeight="1" s="669">
      <c r="A18" s="451" t="inlineStr">
        <is>
          <t>Total Expenses Net RE Tax:</t>
        </is>
      </c>
      <c r="B18" s="452" t="n"/>
      <c r="C18" s="452" t="n"/>
      <c r="D18" s="814">
        <f>-F18/$B$4</f>
        <v/>
      </c>
      <c r="E18" s="465" t="n"/>
      <c r="F18" s="813">
        <f>SUM(F13:F17)</f>
        <v/>
      </c>
    </row>
    <row r="19" ht="6" customHeight="1" s="669">
      <c r="A19" s="468" t="n"/>
      <c r="B19" s="452" t="n"/>
      <c r="C19" s="452" t="n"/>
      <c r="D19" s="812" t="n"/>
      <c r="E19" s="452" t="n"/>
      <c r="F19" s="813" t="n"/>
    </row>
    <row r="20">
      <c r="A20" s="451" t="inlineStr">
        <is>
          <t xml:space="preserve">    Real Estate Taxes</t>
        </is>
      </c>
      <c r="B20" s="452" t="n"/>
      <c r="C20" s="452" t="n"/>
      <c r="D20" s="814">
        <f>-F20/$B$4</f>
        <v/>
      </c>
      <c r="E20" s="465" t="n"/>
      <c r="F20" s="815" t="n">
        <v>0</v>
      </c>
    </row>
    <row r="21" ht="4.9" customHeight="1" s="669">
      <c r="A21" s="451" t="n"/>
      <c r="B21" s="452" t="n"/>
      <c r="C21" s="452" t="n"/>
      <c r="D21" s="816" t="n"/>
      <c r="E21" s="465" t="n"/>
      <c r="F21" s="813" t="n"/>
    </row>
    <row r="22">
      <c r="A22" s="451" t="inlineStr">
        <is>
          <t>Total Expenses:</t>
        </is>
      </c>
      <c r="B22" s="452" t="n"/>
      <c r="C22" s="452" t="n"/>
      <c r="D22" s="814">
        <f>-F22/$B$4</f>
        <v/>
      </c>
      <c r="E22" s="465" t="n"/>
      <c r="F22" s="813">
        <f>SUM(F18:F20)</f>
        <v/>
      </c>
    </row>
    <row r="23" ht="8.25" customHeight="1" s="669">
      <c r="A23" s="451" t="n"/>
      <c r="B23" s="452" t="n"/>
      <c r="C23" s="452" t="n"/>
      <c r="D23" s="452" t="n"/>
      <c r="E23" s="452" t="n"/>
      <c r="F23" s="815" t="n"/>
    </row>
    <row r="24">
      <c r="A24" s="451" t="inlineStr">
        <is>
          <t>Net Operating Income:</t>
        </is>
      </c>
      <c r="B24" s="452" t="n"/>
      <c r="C24" s="452" t="n"/>
      <c r="D24" s="814">
        <f>F24/$B$4</f>
        <v/>
      </c>
      <c r="E24" s="465" t="n"/>
      <c r="F24" s="809">
        <f>ROUND(F10+F22,0)</f>
        <v/>
      </c>
      <c r="H24" s="810">
        <f>F24/B4</f>
        <v/>
      </c>
      <c r="J24" s="817">
        <f>F24/12</f>
        <v/>
      </c>
      <c r="K24" s="817">
        <f>J24*5</f>
        <v/>
      </c>
    </row>
    <row r="25" ht="18.75" customHeight="1" s="669">
      <c r="A25" s="471" t="inlineStr">
        <is>
          <t>*Tenant typically pays utilities while the property is occupied.</t>
        </is>
      </c>
      <c r="B25" s="472" t="n"/>
      <c r="C25" s="472" t="n"/>
      <c r="D25" s="472" t="n"/>
      <c r="E25" s="472" t="n"/>
      <c r="F25" s="473" t="n"/>
    </row>
    <row r="26">
      <c r="A26" s="129" t="n"/>
    </row>
    <row r="27">
      <c r="A27" s="129" t="n"/>
    </row>
    <row r="28">
      <c r="A28" s="130" t="n"/>
      <c r="B28" s="130" t="inlineStr">
        <is>
          <t>Income Capitalization:</t>
        </is>
      </c>
      <c r="C28" s="130" t="n"/>
      <c r="D28" s="131" t="n"/>
      <c r="E28" s="131" t="inlineStr">
        <is>
          <t>Overall</t>
        </is>
      </c>
      <c r="F28" s="131" t="inlineStr">
        <is>
          <t xml:space="preserve">Indicated </t>
        </is>
      </c>
    </row>
    <row r="29">
      <c r="A29" s="130" t="n"/>
      <c r="B29" s="130" t="n"/>
      <c r="C29" s="130" t="n"/>
      <c r="D29" s="132" t="inlineStr">
        <is>
          <t>NOI</t>
        </is>
      </c>
      <c r="E29" s="132" t="inlineStr">
        <is>
          <t>Rate</t>
        </is>
      </c>
      <c r="F29" s="132" t="inlineStr">
        <is>
          <t>Value</t>
        </is>
      </c>
    </row>
    <row r="30">
      <c r="A30" s="130" t="n"/>
      <c r="B30" s="130" t="n"/>
      <c r="C30" s="130" t="n"/>
      <c r="D30" s="818">
        <f>+F24</f>
        <v/>
      </c>
      <c r="E30" s="819" t="n">
        <v>0.0675</v>
      </c>
      <c r="F30" s="820">
        <f>ROUND(D30/E30,0)</f>
        <v/>
      </c>
    </row>
    <row r="31" ht="6.4" customHeight="1" s="669">
      <c r="A31" s="130" t="n"/>
      <c r="B31" s="130" t="n"/>
      <c r="C31" s="130" t="n"/>
      <c r="D31" s="130" t="n"/>
      <c r="E31" s="136" t="n"/>
      <c r="F31" s="821" t="n"/>
    </row>
    <row r="32">
      <c r="A32" s="130" t="n"/>
      <c r="B32" s="130" t="n"/>
      <c r="C32" s="130" t="n"/>
      <c r="D32" s="130" t="inlineStr">
        <is>
          <t>Total Indicated Value:</t>
        </is>
      </c>
      <c r="E32" s="136" t="n"/>
      <c r="F32" s="820">
        <f>SUM(F30:F31)</f>
        <v/>
      </c>
    </row>
    <row r="33" ht="6.4" customHeight="1" s="669">
      <c r="A33" s="130" t="n"/>
      <c r="B33" s="130" t="n"/>
      <c r="C33" s="130" t="n"/>
      <c r="D33" s="130" t="n"/>
      <c r="E33" s="136" t="n"/>
      <c r="F33" s="821" t="n"/>
    </row>
    <row r="34" ht="12" customHeight="1" s="669">
      <c r="A34" s="130" t="n"/>
      <c r="B34" s="130" t="n"/>
      <c r="C34" s="130" t="n"/>
      <c r="D34" s="130" t="inlineStr">
        <is>
          <t>Rounded to:</t>
        </is>
      </c>
      <c r="E34" s="130" t="n"/>
      <c r="F34" s="822">
        <f>ROUND(+F32,-3)</f>
        <v/>
      </c>
    </row>
    <row r="35" ht="6.4" customHeight="1" s="669">
      <c r="A35" s="130" t="n"/>
      <c r="B35" s="130" t="n"/>
      <c r="C35" s="130" t="n"/>
      <c r="D35" s="130" t="n"/>
      <c r="E35" s="136" t="n"/>
      <c r="F35" s="821" t="n"/>
    </row>
    <row r="36">
      <c r="D36" s="452" t="inlineStr">
        <is>
          <t>Overage Rent</t>
        </is>
      </c>
      <c r="F36" s="817">
        <f>#REF!-K24</f>
        <v/>
      </c>
    </row>
    <row r="37" ht="6.4" customHeight="1" s="669">
      <c r="A37" s="130" t="n"/>
      <c r="B37" s="130" t="n"/>
      <c r="C37" s="130" t="n"/>
      <c r="D37" s="130" t="n"/>
      <c r="E37" s="136" t="n"/>
      <c r="F37" s="821" t="n"/>
    </row>
    <row r="38">
      <c r="D38" s="130" t="inlineStr">
        <is>
          <t>Total Indicated Value:</t>
        </is>
      </c>
      <c r="E38" s="136" t="n"/>
      <c r="F38" s="820">
        <f>SUM(F32,F36)</f>
        <v/>
      </c>
    </row>
    <row r="39" ht="6.4" customHeight="1" s="669">
      <c r="A39" s="130" t="n"/>
      <c r="B39" s="130" t="n"/>
      <c r="C39" s="130" t="n"/>
      <c r="D39" s="130" t="n"/>
      <c r="E39" s="136" t="n"/>
      <c r="F39" s="821" t="n"/>
    </row>
    <row r="40">
      <c r="D40" s="130" t="inlineStr">
        <is>
          <t>Rounded to:</t>
        </is>
      </c>
      <c r="E40" s="130" t="n"/>
      <c r="F40" s="822">
        <f>ROUND(+F38,-4)</f>
        <v/>
      </c>
    </row>
  </sheetData>
  <mergeCells count="4">
    <mergeCell ref="H24:I24"/>
    <mergeCell ref="A1:F1"/>
    <mergeCell ref="H9:I9"/>
    <mergeCell ref="H4:I4"/>
  </mergeCells>
  <printOptions gridLinesSet="0"/>
  <pageMargins left="1.25" right="1" top="1" bottom="1" header="0.5" footer="0.5"/>
  <pageSetup orientation="portrait" scale="93" horizontalDpi="4294967292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3:K24"/>
  <sheetViews>
    <sheetView showGridLines="0" topLeftCell="B1" zoomScale="115" zoomScaleNormal="115" workbookViewId="0">
      <selection activeCell="F15" sqref="F15"/>
    </sheetView>
  </sheetViews>
  <sheetFormatPr baseColWidth="8" defaultRowHeight="11.65"/>
  <cols>
    <col width="27.5" customWidth="1" style="669" min="2" max="2"/>
    <col width="10.8125" bestFit="1" customWidth="1" style="823" min="3" max="3"/>
    <col width="9.5625" bestFit="1" customWidth="1" style="823" min="4" max="4"/>
    <col width="10.6875" bestFit="1" customWidth="1" style="823" min="5" max="5"/>
    <col width="28.25" customWidth="1" style="669" min="8" max="8"/>
    <col width="7" customWidth="1" style="669" min="9" max="9"/>
    <col width="12.75" customWidth="1" style="669" min="10" max="10"/>
    <col width="13.3125" customWidth="1" style="669" min="11" max="11"/>
  </cols>
  <sheetData>
    <row r="3" ht="27" customHeight="1" s="669">
      <c r="H3" s="824" t="inlineStr">
        <is>
          <t>Valuation Scenario</t>
        </is>
      </c>
      <c r="I3" s="824" t="inlineStr">
        <is>
          <t>Weight</t>
        </is>
      </c>
      <c r="J3" s="824" t="inlineStr">
        <is>
          <t>Estimated Value</t>
        </is>
      </c>
      <c r="K3" s="824" t="inlineStr">
        <is>
          <t>Weighted Value</t>
        </is>
      </c>
    </row>
    <row r="4" ht="21.4" customHeight="1" s="669">
      <c r="H4" s="825" t="inlineStr">
        <is>
          <t>Income Approach @ Market Rent</t>
        </is>
      </c>
      <c r="I4" s="381" t="n">
        <v>0.65</v>
      </c>
      <c r="J4" s="826">
        <f>#REF!</f>
        <v/>
      </c>
      <c r="K4" s="826">
        <f>J4*I4</f>
        <v/>
      </c>
    </row>
    <row r="5" ht="21.4" customHeight="1" s="669">
      <c r="H5" s="825" t="inlineStr">
        <is>
          <t>Income Approach @ Contract Rent</t>
        </is>
      </c>
      <c r="I5" s="381" t="n">
        <v>0.35</v>
      </c>
      <c r="J5" s="826">
        <f>#REF!</f>
        <v/>
      </c>
      <c r="K5" s="826">
        <f>J5*I5</f>
        <v/>
      </c>
    </row>
    <row r="6" ht="21.4" customHeight="1" s="669">
      <c r="H6" s="827" t="inlineStr">
        <is>
          <t>Income Approach Indication of Value:</t>
        </is>
      </c>
      <c r="I6" s="828" t="n"/>
      <c r="J6" s="829" t="n"/>
      <c r="K6" s="830">
        <f>SUM(K4:K5)</f>
        <v/>
      </c>
    </row>
    <row r="7" ht="21.4" customHeight="1" s="669">
      <c r="B7" s="831" t="inlineStr">
        <is>
          <t>Sales Comparison Approach</t>
        </is>
      </c>
      <c r="C7" s="832">
        <f>'Imprvd Sales'!F54</f>
        <v/>
      </c>
      <c r="D7" s="832" t="n"/>
      <c r="E7" s="832">
        <f>C7</f>
        <v/>
      </c>
      <c r="H7" s="833" t="n"/>
      <c r="I7" s="828" t="n"/>
      <c r="J7" s="834" t="inlineStr">
        <is>
          <t>Rounded:</t>
        </is>
      </c>
      <c r="K7" s="835" t="n">
        <v>1100000</v>
      </c>
    </row>
    <row r="8" ht="13.9" customHeight="1" s="669">
      <c r="B8" s="831" t="inlineStr">
        <is>
          <t>Income Approach 75%</t>
        </is>
      </c>
      <c r="C8" s="832">
        <f>#REF!</f>
        <v/>
      </c>
      <c r="D8" s="832">
        <f>C8*0.65</f>
        <v/>
      </c>
      <c r="E8" s="832">
        <f>D8+D9</f>
        <v/>
      </c>
    </row>
    <row r="9" ht="13.9" customHeight="1" s="669">
      <c r="B9" s="831" t="inlineStr">
        <is>
          <t>Income Approach 35%</t>
        </is>
      </c>
      <c r="C9" s="836">
        <f>#REF!</f>
        <v/>
      </c>
      <c r="D9" s="832">
        <f>C9*0.35</f>
        <v/>
      </c>
    </row>
    <row r="10" ht="13.9" customHeight="1" s="669">
      <c r="E10" s="837" t="n"/>
    </row>
    <row r="11" ht="13.9" customHeight="1" s="669">
      <c r="C11" s="832">
        <f>SUM(C7:C9)/3</f>
        <v/>
      </c>
      <c r="D11" s="838" t="inlineStr">
        <is>
          <t>AVG</t>
        </is>
      </c>
      <c r="E11" s="832">
        <f>SUM(E7:E9)/2</f>
        <v/>
      </c>
    </row>
    <row r="22" ht="13.9" customHeight="1" s="669">
      <c r="C22" s="832" t="n"/>
    </row>
    <row r="24" ht="13.9" customHeight="1" s="669">
      <c r="D24" s="838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2:Z78"/>
  <sheetViews>
    <sheetView showGridLines="0" topLeftCell="A45" workbookViewId="0">
      <selection activeCell="D11" sqref="D11"/>
    </sheetView>
  </sheetViews>
  <sheetFormatPr baseColWidth="8" defaultColWidth="8.5625" defaultRowHeight="13.9"/>
  <cols>
    <col width="8.5625" customWidth="1" style="141" min="1" max="1"/>
    <col width="11.0625" customWidth="1" style="141" min="2" max="2"/>
    <col width="4.0625" customWidth="1" style="141" min="3" max="3"/>
    <col width="12.3125" customWidth="1" style="141" min="4" max="4"/>
    <col width="3.1875" customWidth="1" style="141" min="5" max="5"/>
    <col width="9.3125" customWidth="1" style="141" min="6" max="6"/>
    <col width="5.75" customWidth="1" style="141" min="7" max="7"/>
    <col width="8.0625" customWidth="1" style="141" min="8" max="8"/>
    <col width="8.5625" customWidth="1" style="141" min="9" max="12"/>
    <col width="8.3125" customWidth="1" style="141" min="13" max="18"/>
    <col width="8.5625" customWidth="1" style="141" min="19" max="19"/>
    <col width="3.9375" customWidth="1" style="141" min="20" max="20"/>
    <col width="13.5625" customWidth="1" style="141" min="21" max="21"/>
    <col width="15.3125" bestFit="1" customWidth="1" style="141" min="22" max="22"/>
    <col width="13.6875" bestFit="1" customWidth="1" style="141" min="23" max="23"/>
    <col width="15.9375" bestFit="1" customWidth="1" style="141" min="24" max="24"/>
    <col width="13.5625" bestFit="1" customWidth="1" style="141" min="25" max="25"/>
    <col width="12.3125" bestFit="1" customWidth="1" style="141" min="26" max="26"/>
    <col width="8.5625" customWidth="1" style="141" min="27" max="256"/>
    <col width="12.3125" customWidth="1" style="141" min="257" max="257"/>
    <col width="8.5625" customWidth="1" style="141" min="258" max="260"/>
    <col width="9.6875" customWidth="1" style="141" min="261" max="261"/>
    <col width="8.5625" customWidth="1" style="141" min="262" max="512"/>
    <col width="12.3125" customWidth="1" style="141" min="513" max="513"/>
    <col width="8.5625" customWidth="1" style="141" min="514" max="516"/>
    <col width="9.6875" customWidth="1" style="141" min="517" max="517"/>
    <col width="8.5625" customWidth="1" style="141" min="518" max="768"/>
    <col width="12.3125" customWidth="1" style="141" min="769" max="769"/>
    <col width="8.5625" customWidth="1" style="141" min="770" max="772"/>
    <col width="9.6875" customWidth="1" style="141" min="773" max="773"/>
    <col width="8.5625" customWidth="1" style="141" min="774" max="1024"/>
    <col width="12.3125" customWidth="1" style="141" min="1025" max="1025"/>
    <col width="8.5625" customWidth="1" style="141" min="1026" max="1028"/>
    <col width="9.6875" customWidth="1" style="141" min="1029" max="1029"/>
    <col width="8.5625" customWidth="1" style="141" min="1030" max="1280"/>
    <col width="12.3125" customWidth="1" style="141" min="1281" max="1281"/>
    <col width="8.5625" customWidth="1" style="141" min="1282" max="1284"/>
    <col width="9.6875" customWidth="1" style="141" min="1285" max="1285"/>
    <col width="8.5625" customWidth="1" style="141" min="1286" max="1536"/>
    <col width="12.3125" customWidth="1" style="141" min="1537" max="1537"/>
    <col width="8.5625" customWidth="1" style="141" min="1538" max="1540"/>
    <col width="9.6875" customWidth="1" style="141" min="1541" max="1541"/>
    <col width="8.5625" customWidth="1" style="141" min="1542" max="1792"/>
    <col width="12.3125" customWidth="1" style="141" min="1793" max="1793"/>
    <col width="8.5625" customWidth="1" style="141" min="1794" max="1796"/>
    <col width="9.6875" customWidth="1" style="141" min="1797" max="1797"/>
    <col width="8.5625" customWidth="1" style="141" min="1798" max="2048"/>
    <col width="12.3125" customWidth="1" style="141" min="2049" max="2049"/>
    <col width="8.5625" customWidth="1" style="141" min="2050" max="2052"/>
    <col width="9.6875" customWidth="1" style="141" min="2053" max="2053"/>
    <col width="8.5625" customWidth="1" style="141" min="2054" max="2304"/>
    <col width="12.3125" customWidth="1" style="141" min="2305" max="2305"/>
    <col width="8.5625" customWidth="1" style="141" min="2306" max="2308"/>
    <col width="9.6875" customWidth="1" style="141" min="2309" max="2309"/>
    <col width="8.5625" customWidth="1" style="141" min="2310" max="2560"/>
    <col width="12.3125" customWidth="1" style="141" min="2561" max="2561"/>
    <col width="8.5625" customWidth="1" style="141" min="2562" max="2564"/>
    <col width="9.6875" customWidth="1" style="141" min="2565" max="2565"/>
    <col width="8.5625" customWidth="1" style="141" min="2566" max="2816"/>
    <col width="12.3125" customWidth="1" style="141" min="2817" max="2817"/>
    <col width="8.5625" customWidth="1" style="141" min="2818" max="2820"/>
    <col width="9.6875" customWidth="1" style="141" min="2821" max="2821"/>
    <col width="8.5625" customWidth="1" style="141" min="2822" max="3072"/>
    <col width="12.3125" customWidth="1" style="141" min="3073" max="3073"/>
    <col width="8.5625" customWidth="1" style="141" min="3074" max="3076"/>
    <col width="9.6875" customWidth="1" style="141" min="3077" max="3077"/>
    <col width="8.5625" customWidth="1" style="141" min="3078" max="3328"/>
    <col width="12.3125" customWidth="1" style="141" min="3329" max="3329"/>
    <col width="8.5625" customWidth="1" style="141" min="3330" max="3332"/>
    <col width="9.6875" customWidth="1" style="141" min="3333" max="3333"/>
    <col width="8.5625" customWidth="1" style="141" min="3334" max="3584"/>
    <col width="12.3125" customWidth="1" style="141" min="3585" max="3585"/>
    <col width="8.5625" customWidth="1" style="141" min="3586" max="3588"/>
    <col width="9.6875" customWidth="1" style="141" min="3589" max="3589"/>
    <col width="8.5625" customWidth="1" style="141" min="3590" max="3840"/>
    <col width="12.3125" customWidth="1" style="141" min="3841" max="3841"/>
    <col width="8.5625" customWidth="1" style="141" min="3842" max="3844"/>
    <col width="9.6875" customWidth="1" style="141" min="3845" max="3845"/>
    <col width="8.5625" customWidth="1" style="141" min="3846" max="4096"/>
    <col width="12.3125" customWidth="1" style="141" min="4097" max="4097"/>
    <col width="8.5625" customWidth="1" style="141" min="4098" max="4100"/>
    <col width="9.6875" customWidth="1" style="141" min="4101" max="4101"/>
    <col width="8.5625" customWidth="1" style="141" min="4102" max="4352"/>
    <col width="12.3125" customWidth="1" style="141" min="4353" max="4353"/>
    <col width="8.5625" customWidth="1" style="141" min="4354" max="4356"/>
    <col width="9.6875" customWidth="1" style="141" min="4357" max="4357"/>
    <col width="8.5625" customWidth="1" style="141" min="4358" max="4608"/>
    <col width="12.3125" customWidth="1" style="141" min="4609" max="4609"/>
    <col width="8.5625" customWidth="1" style="141" min="4610" max="4612"/>
    <col width="9.6875" customWidth="1" style="141" min="4613" max="4613"/>
    <col width="8.5625" customWidth="1" style="141" min="4614" max="4864"/>
    <col width="12.3125" customWidth="1" style="141" min="4865" max="4865"/>
    <col width="8.5625" customWidth="1" style="141" min="4866" max="4868"/>
    <col width="9.6875" customWidth="1" style="141" min="4869" max="4869"/>
    <col width="8.5625" customWidth="1" style="141" min="4870" max="5120"/>
    <col width="12.3125" customWidth="1" style="141" min="5121" max="5121"/>
    <col width="8.5625" customWidth="1" style="141" min="5122" max="5124"/>
    <col width="9.6875" customWidth="1" style="141" min="5125" max="5125"/>
    <col width="8.5625" customWidth="1" style="141" min="5126" max="5376"/>
    <col width="12.3125" customWidth="1" style="141" min="5377" max="5377"/>
    <col width="8.5625" customWidth="1" style="141" min="5378" max="5380"/>
    <col width="9.6875" customWidth="1" style="141" min="5381" max="5381"/>
    <col width="8.5625" customWidth="1" style="141" min="5382" max="5632"/>
    <col width="12.3125" customWidth="1" style="141" min="5633" max="5633"/>
    <col width="8.5625" customWidth="1" style="141" min="5634" max="5636"/>
    <col width="9.6875" customWidth="1" style="141" min="5637" max="5637"/>
    <col width="8.5625" customWidth="1" style="141" min="5638" max="5888"/>
    <col width="12.3125" customWidth="1" style="141" min="5889" max="5889"/>
    <col width="8.5625" customWidth="1" style="141" min="5890" max="5892"/>
    <col width="9.6875" customWidth="1" style="141" min="5893" max="5893"/>
    <col width="8.5625" customWidth="1" style="141" min="5894" max="6144"/>
    <col width="12.3125" customWidth="1" style="141" min="6145" max="6145"/>
    <col width="8.5625" customWidth="1" style="141" min="6146" max="6148"/>
    <col width="9.6875" customWidth="1" style="141" min="6149" max="6149"/>
    <col width="8.5625" customWidth="1" style="141" min="6150" max="6400"/>
    <col width="12.3125" customWidth="1" style="141" min="6401" max="6401"/>
    <col width="8.5625" customWidth="1" style="141" min="6402" max="6404"/>
    <col width="9.6875" customWidth="1" style="141" min="6405" max="6405"/>
    <col width="8.5625" customWidth="1" style="141" min="6406" max="6656"/>
    <col width="12.3125" customWidth="1" style="141" min="6657" max="6657"/>
    <col width="8.5625" customWidth="1" style="141" min="6658" max="6660"/>
    <col width="9.6875" customWidth="1" style="141" min="6661" max="6661"/>
    <col width="8.5625" customWidth="1" style="141" min="6662" max="6912"/>
    <col width="12.3125" customWidth="1" style="141" min="6913" max="6913"/>
    <col width="8.5625" customWidth="1" style="141" min="6914" max="6916"/>
    <col width="9.6875" customWidth="1" style="141" min="6917" max="6917"/>
    <col width="8.5625" customWidth="1" style="141" min="6918" max="7168"/>
    <col width="12.3125" customWidth="1" style="141" min="7169" max="7169"/>
    <col width="8.5625" customWidth="1" style="141" min="7170" max="7172"/>
    <col width="9.6875" customWidth="1" style="141" min="7173" max="7173"/>
    <col width="8.5625" customWidth="1" style="141" min="7174" max="7424"/>
    <col width="12.3125" customWidth="1" style="141" min="7425" max="7425"/>
    <col width="8.5625" customWidth="1" style="141" min="7426" max="7428"/>
    <col width="9.6875" customWidth="1" style="141" min="7429" max="7429"/>
    <col width="8.5625" customWidth="1" style="141" min="7430" max="7680"/>
    <col width="12.3125" customWidth="1" style="141" min="7681" max="7681"/>
    <col width="8.5625" customWidth="1" style="141" min="7682" max="7684"/>
    <col width="9.6875" customWidth="1" style="141" min="7685" max="7685"/>
    <col width="8.5625" customWidth="1" style="141" min="7686" max="7936"/>
    <col width="12.3125" customWidth="1" style="141" min="7937" max="7937"/>
    <col width="8.5625" customWidth="1" style="141" min="7938" max="7940"/>
    <col width="9.6875" customWidth="1" style="141" min="7941" max="7941"/>
    <col width="8.5625" customWidth="1" style="141" min="7942" max="8192"/>
    <col width="12.3125" customWidth="1" style="141" min="8193" max="8193"/>
    <col width="8.5625" customWidth="1" style="141" min="8194" max="8196"/>
    <col width="9.6875" customWidth="1" style="141" min="8197" max="8197"/>
    <col width="8.5625" customWidth="1" style="141" min="8198" max="8448"/>
    <col width="12.3125" customWidth="1" style="141" min="8449" max="8449"/>
    <col width="8.5625" customWidth="1" style="141" min="8450" max="8452"/>
    <col width="9.6875" customWidth="1" style="141" min="8453" max="8453"/>
    <col width="8.5625" customWidth="1" style="141" min="8454" max="8704"/>
    <col width="12.3125" customWidth="1" style="141" min="8705" max="8705"/>
    <col width="8.5625" customWidth="1" style="141" min="8706" max="8708"/>
    <col width="9.6875" customWidth="1" style="141" min="8709" max="8709"/>
    <col width="8.5625" customWidth="1" style="141" min="8710" max="8960"/>
    <col width="12.3125" customWidth="1" style="141" min="8961" max="8961"/>
    <col width="8.5625" customWidth="1" style="141" min="8962" max="8964"/>
    <col width="9.6875" customWidth="1" style="141" min="8965" max="8965"/>
    <col width="8.5625" customWidth="1" style="141" min="8966" max="9216"/>
    <col width="12.3125" customWidth="1" style="141" min="9217" max="9217"/>
    <col width="8.5625" customWidth="1" style="141" min="9218" max="9220"/>
    <col width="9.6875" customWidth="1" style="141" min="9221" max="9221"/>
    <col width="8.5625" customWidth="1" style="141" min="9222" max="9472"/>
    <col width="12.3125" customWidth="1" style="141" min="9473" max="9473"/>
    <col width="8.5625" customWidth="1" style="141" min="9474" max="9476"/>
    <col width="9.6875" customWidth="1" style="141" min="9477" max="9477"/>
    <col width="8.5625" customWidth="1" style="141" min="9478" max="9728"/>
    <col width="12.3125" customWidth="1" style="141" min="9729" max="9729"/>
    <col width="8.5625" customWidth="1" style="141" min="9730" max="9732"/>
    <col width="9.6875" customWidth="1" style="141" min="9733" max="9733"/>
    <col width="8.5625" customWidth="1" style="141" min="9734" max="9984"/>
    <col width="12.3125" customWidth="1" style="141" min="9985" max="9985"/>
    <col width="8.5625" customWidth="1" style="141" min="9986" max="9988"/>
    <col width="9.6875" customWidth="1" style="141" min="9989" max="9989"/>
    <col width="8.5625" customWidth="1" style="141" min="9990" max="10240"/>
    <col width="12.3125" customWidth="1" style="141" min="10241" max="10241"/>
    <col width="8.5625" customWidth="1" style="141" min="10242" max="10244"/>
    <col width="9.6875" customWidth="1" style="141" min="10245" max="10245"/>
    <col width="8.5625" customWidth="1" style="141" min="10246" max="10496"/>
    <col width="12.3125" customWidth="1" style="141" min="10497" max="10497"/>
    <col width="8.5625" customWidth="1" style="141" min="10498" max="10500"/>
    <col width="9.6875" customWidth="1" style="141" min="10501" max="10501"/>
    <col width="8.5625" customWidth="1" style="141" min="10502" max="10752"/>
    <col width="12.3125" customWidth="1" style="141" min="10753" max="10753"/>
    <col width="8.5625" customWidth="1" style="141" min="10754" max="10756"/>
    <col width="9.6875" customWidth="1" style="141" min="10757" max="10757"/>
    <col width="8.5625" customWidth="1" style="141" min="10758" max="11008"/>
    <col width="12.3125" customWidth="1" style="141" min="11009" max="11009"/>
    <col width="8.5625" customWidth="1" style="141" min="11010" max="11012"/>
    <col width="9.6875" customWidth="1" style="141" min="11013" max="11013"/>
    <col width="8.5625" customWidth="1" style="141" min="11014" max="11264"/>
    <col width="12.3125" customWidth="1" style="141" min="11265" max="11265"/>
    <col width="8.5625" customWidth="1" style="141" min="11266" max="11268"/>
    <col width="9.6875" customWidth="1" style="141" min="11269" max="11269"/>
    <col width="8.5625" customWidth="1" style="141" min="11270" max="11520"/>
    <col width="12.3125" customWidth="1" style="141" min="11521" max="11521"/>
    <col width="8.5625" customWidth="1" style="141" min="11522" max="11524"/>
    <col width="9.6875" customWidth="1" style="141" min="11525" max="11525"/>
    <col width="8.5625" customWidth="1" style="141" min="11526" max="11776"/>
    <col width="12.3125" customWidth="1" style="141" min="11777" max="11777"/>
    <col width="8.5625" customWidth="1" style="141" min="11778" max="11780"/>
    <col width="9.6875" customWidth="1" style="141" min="11781" max="11781"/>
    <col width="8.5625" customWidth="1" style="141" min="11782" max="12032"/>
    <col width="12.3125" customWidth="1" style="141" min="12033" max="12033"/>
    <col width="8.5625" customWidth="1" style="141" min="12034" max="12036"/>
    <col width="9.6875" customWidth="1" style="141" min="12037" max="12037"/>
    <col width="8.5625" customWidth="1" style="141" min="12038" max="12288"/>
    <col width="12.3125" customWidth="1" style="141" min="12289" max="12289"/>
    <col width="8.5625" customWidth="1" style="141" min="12290" max="12292"/>
    <col width="9.6875" customWidth="1" style="141" min="12293" max="12293"/>
    <col width="8.5625" customWidth="1" style="141" min="12294" max="12544"/>
    <col width="12.3125" customWidth="1" style="141" min="12545" max="12545"/>
    <col width="8.5625" customWidth="1" style="141" min="12546" max="12548"/>
    <col width="9.6875" customWidth="1" style="141" min="12549" max="12549"/>
    <col width="8.5625" customWidth="1" style="141" min="12550" max="12800"/>
    <col width="12.3125" customWidth="1" style="141" min="12801" max="12801"/>
    <col width="8.5625" customWidth="1" style="141" min="12802" max="12804"/>
    <col width="9.6875" customWidth="1" style="141" min="12805" max="12805"/>
    <col width="8.5625" customWidth="1" style="141" min="12806" max="13056"/>
    <col width="12.3125" customWidth="1" style="141" min="13057" max="13057"/>
    <col width="8.5625" customWidth="1" style="141" min="13058" max="13060"/>
    <col width="9.6875" customWidth="1" style="141" min="13061" max="13061"/>
    <col width="8.5625" customWidth="1" style="141" min="13062" max="13312"/>
    <col width="12.3125" customWidth="1" style="141" min="13313" max="13313"/>
    <col width="8.5625" customWidth="1" style="141" min="13314" max="13316"/>
    <col width="9.6875" customWidth="1" style="141" min="13317" max="13317"/>
    <col width="8.5625" customWidth="1" style="141" min="13318" max="13568"/>
    <col width="12.3125" customWidth="1" style="141" min="13569" max="13569"/>
    <col width="8.5625" customWidth="1" style="141" min="13570" max="13572"/>
    <col width="9.6875" customWidth="1" style="141" min="13573" max="13573"/>
    <col width="8.5625" customWidth="1" style="141" min="13574" max="13824"/>
    <col width="12.3125" customWidth="1" style="141" min="13825" max="13825"/>
    <col width="8.5625" customWidth="1" style="141" min="13826" max="13828"/>
    <col width="9.6875" customWidth="1" style="141" min="13829" max="13829"/>
    <col width="8.5625" customWidth="1" style="141" min="13830" max="14080"/>
    <col width="12.3125" customWidth="1" style="141" min="14081" max="14081"/>
    <col width="8.5625" customWidth="1" style="141" min="14082" max="14084"/>
    <col width="9.6875" customWidth="1" style="141" min="14085" max="14085"/>
    <col width="8.5625" customWidth="1" style="141" min="14086" max="14336"/>
    <col width="12.3125" customWidth="1" style="141" min="14337" max="14337"/>
    <col width="8.5625" customWidth="1" style="141" min="14338" max="14340"/>
    <col width="9.6875" customWidth="1" style="141" min="14341" max="14341"/>
    <col width="8.5625" customWidth="1" style="141" min="14342" max="14592"/>
    <col width="12.3125" customWidth="1" style="141" min="14593" max="14593"/>
    <col width="8.5625" customWidth="1" style="141" min="14594" max="14596"/>
    <col width="9.6875" customWidth="1" style="141" min="14597" max="14597"/>
    <col width="8.5625" customWidth="1" style="141" min="14598" max="14848"/>
    <col width="12.3125" customWidth="1" style="141" min="14849" max="14849"/>
    <col width="8.5625" customWidth="1" style="141" min="14850" max="14852"/>
    <col width="9.6875" customWidth="1" style="141" min="14853" max="14853"/>
    <col width="8.5625" customWidth="1" style="141" min="14854" max="15104"/>
    <col width="12.3125" customWidth="1" style="141" min="15105" max="15105"/>
    <col width="8.5625" customWidth="1" style="141" min="15106" max="15108"/>
    <col width="9.6875" customWidth="1" style="141" min="15109" max="15109"/>
    <col width="8.5625" customWidth="1" style="141" min="15110" max="15360"/>
    <col width="12.3125" customWidth="1" style="141" min="15361" max="15361"/>
    <col width="8.5625" customWidth="1" style="141" min="15362" max="15364"/>
    <col width="9.6875" customWidth="1" style="141" min="15365" max="15365"/>
    <col width="8.5625" customWidth="1" style="141" min="15366" max="15616"/>
    <col width="12.3125" customWidth="1" style="141" min="15617" max="15617"/>
    <col width="8.5625" customWidth="1" style="141" min="15618" max="15620"/>
    <col width="9.6875" customWidth="1" style="141" min="15621" max="15621"/>
    <col width="8.5625" customWidth="1" style="141" min="15622" max="15872"/>
    <col width="12.3125" customWidth="1" style="141" min="15873" max="15873"/>
    <col width="8.5625" customWidth="1" style="141" min="15874" max="15876"/>
    <col width="9.6875" customWidth="1" style="141" min="15877" max="15877"/>
    <col width="8.5625" customWidth="1" style="141" min="15878" max="16128"/>
    <col width="12.3125" customWidth="1" style="141" min="16129" max="16129"/>
    <col width="8.5625" customWidth="1" style="141" min="16130" max="16132"/>
    <col width="9.6875" customWidth="1" style="141" min="16133" max="16133"/>
    <col width="8.5625" customWidth="1" style="141" min="16134" max="16384"/>
  </cols>
  <sheetData>
    <row r="1" ht="14.25" customHeight="1" s="669" thickBot="1"/>
    <row r="2" ht="15" customHeight="1" s="669">
      <c r="B2" s="450" t="inlineStr">
        <is>
          <t>Mortgage Equity Technique</t>
        </is>
      </c>
      <c r="C2" s="396" t="n"/>
      <c r="D2" s="396" t="n"/>
      <c r="E2" s="396" t="n"/>
      <c r="F2" s="396" t="n"/>
      <c r="G2" s="396" t="n"/>
      <c r="H2" s="397" t="n"/>
    </row>
    <row r="3">
      <c r="B3" s="398" t="inlineStr">
        <is>
          <t>Mortgage Ratio:</t>
        </is>
      </c>
      <c r="C3" s="355" t="n"/>
      <c r="D3" s="355" t="n"/>
      <c r="E3" s="355" t="n"/>
      <c r="F3" s="355" t="n"/>
      <c r="G3" s="399" t="n">
        <v>0.65</v>
      </c>
      <c r="H3" s="400" t="n"/>
      <c r="U3" s="141" t="inlineStr">
        <is>
          <t xml:space="preserve"> </t>
        </is>
      </c>
    </row>
    <row r="4">
      <c r="B4" s="403" t="inlineStr">
        <is>
          <t>Mortgage Interest Rate:</t>
        </is>
      </c>
      <c r="G4" s="203" t="n">
        <v>0.059</v>
      </c>
      <c r="H4" s="404" t="n"/>
    </row>
    <row r="5">
      <c r="B5" s="403" t="inlineStr">
        <is>
          <t>Amortization Period:</t>
        </is>
      </c>
      <c r="G5" s="141" t="n">
        <v>25</v>
      </c>
      <c r="H5" s="404" t="inlineStr">
        <is>
          <t>years</t>
        </is>
      </c>
    </row>
    <row r="6">
      <c r="B6" s="403" t="inlineStr">
        <is>
          <t>Investment Holding Period:</t>
        </is>
      </c>
      <c r="G6" s="141" t="n">
        <v>10</v>
      </c>
      <c r="H6" s="404" t="inlineStr">
        <is>
          <t>years</t>
        </is>
      </c>
    </row>
    <row r="7">
      <c r="B7" s="407" t="inlineStr">
        <is>
          <t>Equity Yield Rate:</t>
        </is>
      </c>
      <c r="G7" s="142" t="n">
        <v>0.08</v>
      </c>
      <c r="H7" s="404" t="n"/>
    </row>
    <row r="8">
      <c r="B8" s="403" t="inlineStr">
        <is>
          <t>Change in Value:</t>
        </is>
      </c>
      <c r="G8" s="142" t="n">
        <v>0.12</v>
      </c>
      <c r="H8" s="404" t="n"/>
    </row>
    <row r="9" ht="10.9" customHeight="1" s="669">
      <c r="B9" s="408" t="inlineStr">
        <is>
          <t>Calculate basic rate "r"</t>
        </is>
      </c>
      <c r="C9" s="144" t="n"/>
      <c r="D9" s="144" t="n"/>
      <c r="E9" s="144" t="n"/>
      <c r="F9" s="144" t="n"/>
      <c r="G9" s="144" t="n"/>
      <c r="H9" s="409" t="n"/>
    </row>
    <row r="10">
      <c r="B10" s="410" t="inlineStr">
        <is>
          <t>Mortgage ratio</t>
        </is>
      </c>
      <c r="C10" s="148" t="n"/>
      <c r="D10" s="148" t="inlineStr">
        <is>
          <t>Mtg. constant</t>
        </is>
      </c>
      <c r="E10" s="148" t="n"/>
      <c r="F10" s="148" t="n"/>
      <c r="G10" s="148" t="n"/>
      <c r="H10" s="404" t="n"/>
    </row>
    <row r="11">
      <c r="B11" s="411">
        <f>+G3</f>
        <v/>
      </c>
      <c r="C11" s="148" t="inlineStr">
        <is>
          <t>x</t>
        </is>
      </c>
      <c r="D11" s="839">
        <f>PMT(+G4/12,+G5*12,-1,0)*12</f>
        <v/>
      </c>
      <c r="E11" s="148" t="n"/>
      <c r="F11" s="148" t="n"/>
      <c r="G11" s="148" t="inlineStr">
        <is>
          <t>=</t>
        </is>
      </c>
      <c r="H11" s="840">
        <f>+B11*D11</f>
        <v/>
      </c>
    </row>
    <row r="12" ht="6" customHeight="1" s="669">
      <c r="B12" s="410" t="n"/>
      <c r="C12" s="148" t="n"/>
      <c r="D12" s="148" t="n"/>
      <c r="E12" s="148" t="n"/>
      <c r="F12" s="148" t="n"/>
      <c r="G12" s="148" t="n"/>
      <c r="H12" s="840" t="n"/>
    </row>
    <row r="13">
      <c r="B13" s="410" t="inlineStr">
        <is>
          <t>Equity ratio</t>
        </is>
      </c>
      <c r="C13" s="148" t="n"/>
      <c r="D13" s="148" t="inlineStr">
        <is>
          <t>Equity yield rate</t>
        </is>
      </c>
      <c r="E13" s="148" t="n"/>
      <c r="F13" s="148" t="n"/>
      <c r="G13" s="148" t="n"/>
      <c r="H13" s="840" t="n"/>
    </row>
    <row r="14">
      <c r="B14" s="411">
        <f>1-G3</f>
        <v/>
      </c>
      <c r="C14" s="148" t="inlineStr">
        <is>
          <t>x</t>
        </is>
      </c>
      <c r="D14" s="839">
        <f>+G7</f>
        <v/>
      </c>
      <c r="E14" s="148" t="n"/>
      <c r="F14" s="148" t="n"/>
      <c r="G14" s="148" t="inlineStr">
        <is>
          <t>=</t>
        </is>
      </c>
      <c r="H14" s="841">
        <f>+B14*D14</f>
        <v/>
      </c>
    </row>
    <row r="15">
      <c r="B15" s="403" t="n"/>
      <c r="D15" s="141" t="inlineStr">
        <is>
          <t>Basic rate "r"</t>
        </is>
      </c>
      <c r="G15" s="148" t="inlineStr">
        <is>
          <t>=</t>
        </is>
      </c>
      <c r="H15" s="840">
        <f>+H11+H14</f>
        <v/>
      </c>
    </row>
    <row r="16" ht="2.25" customHeight="1" s="669">
      <c r="B16" s="403" t="n"/>
      <c r="H16" s="840" t="n"/>
    </row>
    <row r="17" ht="15.4" customHeight="1" s="669">
      <c r="B17" s="414" t="n"/>
      <c r="C17" s="140" t="n"/>
      <c r="D17" s="415" t="n"/>
      <c r="E17" s="140" t="n"/>
      <c r="F17" s="140" t="n"/>
      <c r="G17" s="416" t="inlineStr">
        <is>
          <t xml:space="preserve"> Band of Investment Method Indicated Overall Rate:</t>
        </is>
      </c>
      <c r="H17" s="417">
        <f>ROUND(+H15,3)</f>
        <v/>
      </c>
    </row>
    <row r="18" ht="3.75" customHeight="1" s="669">
      <c r="B18" s="418" t="n"/>
      <c r="C18" s="354" t="n"/>
      <c r="D18" s="354" t="n"/>
      <c r="E18" s="354" t="n"/>
      <c r="F18" s="354" t="n"/>
      <c r="G18" s="354" t="n"/>
      <c r="H18" s="842" t="n"/>
    </row>
    <row r="19" ht="4.5" customHeight="1" s="669">
      <c r="B19" s="403" t="n"/>
      <c r="H19" s="840" t="n"/>
    </row>
    <row r="20">
      <c r="B20" s="403" t="inlineStr">
        <is>
          <t>Adjust (subtract) for equity build-up</t>
        </is>
      </c>
      <c r="H20" s="840" t="n"/>
    </row>
    <row r="21" ht="6" customHeight="1" s="669">
      <c r="B21" s="403" t="n"/>
      <c r="H21" s="840" t="n"/>
    </row>
    <row r="22">
      <c r="B22" s="410" t="inlineStr">
        <is>
          <t>Mtg. ratio</t>
        </is>
      </c>
      <c r="C22" s="148" t="n"/>
      <c r="D22" s="148" t="inlineStr">
        <is>
          <t>Part pd. off</t>
        </is>
      </c>
      <c r="E22" s="148" t="n"/>
      <c r="F22" s="148" t="inlineStr">
        <is>
          <t>Sinking FF</t>
        </is>
      </c>
      <c r="G22" s="148" t="n"/>
      <c r="H22" s="840" t="n"/>
    </row>
    <row r="23">
      <c r="B23" s="411">
        <f>G3</f>
        <v/>
      </c>
      <c r="C23" s="148" t="inlineStr">
        <is>
          <t>x</t>
        </is>
      </c>
      <c r="D23" s="843">
        <f>(PMT(G4/12,+G5*12,0,-1))/(PMT(G4/12,+G6*12,0,-1))</f>
        <v/>
      </c>
      <c r="E23" s="148" t="inlineStr">
        <is>
          <t>x</t>
        </is>
      </c>
      <c r="F23" s="839">
        <f>PMT(+G7/12,+G6*12,0,-1)*12</f>
        <v/>
      </c>
      <c r="G23" s="148" t="inlineStr">
        <is>
          <t>=</t>
        </is>
      </c>
      <c r="H23" s="840">
        <f>-B23*D23*F23</f>
        <v/>
      </c>
    </row>
    <row r="24" ht="5.25" customHeight="1" s="669">
      <c r="B24" s="403" t="n"/>
      <c r="D24" s="141" t="inlineStr">
        <is>
          <t xml:space="preserve"> </t>
        </is>
      </c>
      <c r="H24" s="840" t="n"/>
    </row>
    <row r="25">
      <c r="B25" s="403" t="inlineStr">
        <is>
          <t>Adjust for change in value over holding period</t>
        </is>
      </c>
      <c r="H25" s="840" t="n"/>
    </row>
    <row r="26" ht="5.25" customHeight="1" s="669">
      <c r="B26" s="403" t="n"/>
      <c r="H26" s="840" t="n"/>
    </row>
    <row r="27">
      <c r="B27" s="410" t="inlineStr">
        <is>
          <t>Value change</t>
        </is>
      </c>
      <c r="C27" s="148" t="n"/>
      <c r="D27" s="148" t="inlineStr">
        <is>
          <t>Sinking FF</t>
        </is>
      </c>
      <c r="E27" s="148" t="n"/>
      <c r="F27" s="148" t="n"/>
      <c r="G27" s="148" t="n"/>
      <c r="H27" s="840" t="n"/>
    </row>
    <row r="28" ht="11.65" customHeight="1" s="669">
      <c r="B28" s="411">
        <f>G8</f>
        <v/>
      </c>
      <c r="C28" s="148" t="inlineStr">
        <is>
          <t>x</t>
        </is>
      </c>
      <c r="D28" s="839">
        <f>PMT(+G7/12,+G6*12,0,-1)*12</f>
        <v/>
      </c>
      <c r="E28" s="148" t="n"/>
      <c r="F28" s="148" t="n"/>
      <c r="G28" s="148" t="inlineStr">
        <is>
          <t>=</t>
        </is>
      </c>
      <c r="H28" s="841">
        <f>-B28*D28</f>
        <v/>
      </c>
    </row>
    <row r="29" ht="13.15" customHeight="1" s="669">
      <c r="B29" s="403" t="n"/>
      <c r="G29" s="148" t="inlineStr">
        <is>
          <t>=</t>
        </is>
      </c>
      <c r="H29" s="840">
        <f>ROUND(+H15+H23+H28,5)</f>
        <v/>
      </c>
    </row>
    <row r="30" ht="18.4" customHeight="1" s="669">
      <c r="B30" s="403" t="n"/>
      <c r="F30" s="150" t="n"/>
      <c r="G30" s="416" t="inlineStr">
        <is>
          <t>Mortgage Equity Technique Indicated Overall Rate:</t>
        </is>
      </c>
      <c r="H30" s="417">
        <f>ROUND(+H29,3)</f>
        <v/>
      </c>
    </row>
    <row r="31" ht="6.4" customFormat="1" customHeight="1" s="844" thickBot="1">
      <c r="B31" s="845" t="n"/>
      <c r="C31" s="846" t="n"/>
      <c r="D31" s="846" t="n"/>
      <c r="E31" s="846" t="n"/>
      <c r="F31" s="846" t="n"/>
      <c r="G31" s="846" t="n"/>
      <c r="H31" s="847" t="n"/>
      <c r="I31" s="848" t="n"/>
      <c r="J31" s="150" t="n"/>
      <c r="K31" s="152" t="n"/>
    </row>
    <row r="32" customFormat="1" s="844">
      <c r="C32" s="848" t="n"/>
      <c r="D32" s="848" t="n"/>
      <c r="E32" s="848" t="n"/>
      <c r="F32" s="848" t="n"/>
      <c r="G32" s="848" t="n"/>
      <c r="H32" s="848" t="n"/>
      <c r="I32" s="848" t="n"/>
      <c r="J32" s="150" t="n"/>
      <c r="K32" s="152" t="n"/>
    </row>
    <row r="33" ht="15" customHeight="1" s="669">
      <c r="B33" s="139" t="inlineStr">
        <is>
          <t>Band of Investment Method</t>
        </is>
      </c>
      <c r="C33" s="140" t="n"/>
      <c r="D33" s="140" t="n"/>
      <c r="E33" s="140" t="n"/>
      <c r="F33" s="140" t="n"/>
      <c r="G33" s="140" t="n"/>
      <c r="H33" s="140" t="n"/>
    </row>
    <row r="34" ht="6.4" customFormat="1" customHeight="1" s="844">
      <c r="C34" s="848" t="n"/>
      <c r="D34" s="848" t="n"/>
      <c r="E34" s="848" t="n"/>
      <c r="F34" s="848" t="n"/>
      <c r="G34" s="848" t="n"/>
      <c r="H34" s="848" t="n"/>
      <c r="I34" s="848" t="n"/>
      <c r="J34" s="150" t="n"/>
      <c r="K34" s="152" t="n"/>
    </row>
    <row r="35" ht="27.4" customHeight="1" s="669">
      <c r="B35" s="141" t="inlineStr">
        <is>
          <t>Mortgage Ratio:</t>
        </is>
      </c>
      <c r="G35" s="142">
        <f>G3</f>
        <v/>
      </c>
      <c r="V35" s="849" t="inlineStr">
        <is>
          <t>Market Extraction</t>
        </is>
      </c>
      <c r="W35" s="402" t="inlineStr">
        <is>
          <t>Investor Surveys</t>
        </is>
      </c>
      <c r="X35" s="402" t="inlineStr">
        <is>
          <t>Band of Investment</t>
        </is>
      </c>
      <c r="Y35" s="402" t="inlineStr">
        <is>
          <t>Mortgage Equity</t>
        </is>
      </c>
      <c r="Z35" s="402" t="inlineStr">
        <is>
          <t>DSCR Method</t>
        </is>
      </c>
    </row>
    <row r="36">
      <c r="B36" s="141" t="inlineStr">
        <is>
          <t>Mortgage Interest Rate:</t>
        </is>
      </c>
      <c r="G36" s="850">
        <f>G4</f>
        <v/>
      </c>
      <c r="V36" s="405" t="inlineStr">
        <is>
          <t>3.85% - 9.00%</t>
        </is>
      </c>
      <c r="W36" s="405" t="inlineStr">
        <is>
          <t>5.60% - 6.75%</t>
        </is>
      </c>
      <c r="X36" s="406" t="n">
        <v>0.078</v>
      </c>
      <c r="Y36" s="406" t="n">
        <v>0.06</v>
      </c>
      <c r="Z36" s="406" t="n">
        <v>0.0622</v>
      </c>
    </row>
    <row r="37">
      <c r="B37" s="141" t="inlineStr">
        <is>
          <t>Amortization Period:</t>
        </is>
      </c>
      <c r="G37" s="141">
        <f>G5</f>
        <v/>
      </c>
      <c r="H37" s="141" t="inlineStr">
        <is>
          <t>years</t>
        </is>
      </c>
    </row>
    <row r="38">
      <c r="B38" s="143" t="inlineStr">
        <is>
          <t>Equity Yield Rate:</t>
        </is>
      </c>
      <c r="G38" s="142">
        <f>G7</f>
        <v/>
      </c>
    </row>
    <row r="39">
      <c r="B39" s="144" t="inlineStr">
        <is>
          <t>Calculate basic rate "r"</t>
        </is>
      </c>
      <c r="C39" s="144" t="n"/>
      <c r="D39" s="144" t="n"/>
      <c r="E39" s="144" t="n"/>
      <c r="F39" s="144" t="n"/>
      <c r="G39" s="144" t="n"/>
      <c r="H39" s="144" t="n"/>
    </row>
    <row r="40">
      <c r="B40" s="148" t="inlineStr">
        <is>
          <t>Mortgage ratio</t>
        </is>
      </c>
      <c r="C40" s="148" t="n"/>
      <c r="D40" s="148" t="inlineStr">
        <is>
          <t>Mtg. constant</t>
        </is>
      </c>
      <c r="E40" s="148" t="n"/>
      <c r="F40" s="148" t="n"/>
      <c r="G40" s="148" t="n"/>
    </row>
    <row r="41">
      <c r="B41" s="424">
        <f>G35</f>
        <v/>
      </c>
      <c r="C41" s="148" t="inlineStr">
        <is>
          <t>x</t>
        </is>
      </c>
      <c r="D41" s="839">
        <f>PMT(+G36/12,+G37*12,-1,0)*12</f>
        <v/>
      </c>
      <c r="E41" s="148" t="n"/>
      <c r="F41" s="148" t="n"/>
      <c r="G41" s="148" t="inlineStr">
        <is>
          <t>=</t>
        </is>
      </c>
      <c r="H41" s="851">
        <f>ROUND(B41*D41,6)</f>
        <v/>
      </c>
    </row>
    <row r="42" ht="6" customHeight="1" s="669">
      <c r="B42" s="148" t="n"/>
      <c r="C42" s="148" t="n"/>
      <c r="D42" s="148" t="n"/>
      <c r="E42" s="148" t="n"/>
      <c r="F42" s="148" t="n"/>
      <c r="G42" s="148" t="n"/>
      <c r="H42" s="851" t="n"/>
    </row>
    <row r="43">
      <c r="B43" s="148" t="inlineStr">
        <is>
          <t>Equity ratio</t>
        </is>
      </c>
      <c r="C43" s="148" t="n"/>
      <c r="D43" s="148" t="inlineStr">
        <is>
          <t>Equity yield rate</t>
        </is>
      </c>
      <c r="E43" s="148" t="n"/>
      <c r="F43" s="148" t="n"/>
      <c r="G43" s="148" t="n"/>
      <c r="H43" s="851" t="n"/>
    </row>
    <row r="44">
      <c r="B44" s="424">
        <f>1-G35</f>
        <v/>
      </c>
      <c r="C44" s="148" t="inlineStr">
        <is>
          <t>x</t>
        </is>
      </c>
      <c r="D44" s="839">
        <f>+G38</f>
        <v/>
      </c>
      <c r="E44" s="148" t="n"/>
      <c r="F44" s="148" t="n"/>
      <c r="G44" s="148" t="inlineStr">
        <is>
          <t>=</t>
        </is>
      </c>
      <c r="H44" s="852">
        <f>ROUND(B44*D44,6)</f>
        <v/>
      </c>
    </row>
    <row r="45" ht="15" customHeight="1" s="669">
      <c r="B45" s="148" t="n"/>
      <c r="C45" s="148" t="n"/>
      <c r="D45" s="148" t="inlineStr">
        <is>
          <t>Basic rate "r"</t>
        </is>
      </c>
      <c r="E45" s="148" t="n"/>
      <c r="F45" s="148" t="n"/>
      <c r="G45" s="148" t="inlineStr">
        <is>
          <t>=</t>
        </is>
      </c>
      <c r="H45" s="851">
        <f>ROUND(H41+H44,6)</f>
        <v/>
      </c>
    </row>
    <row r="46">
      <c r="F46" s="150" t="n"/>
      <c r="G46" s="416" t="inlineStr">
        <is>
          <t>Indicated Overall Rate:</t>
        </is>
      </c>
      <c r="H46" s="853">
        <f>H45</f>
        <v/>
      </c>
    </row>
    <row r="47">
      <c r="E47" s="150" t="n"/>
      <c r="F47" s="150" t="n"/>
      <c r="G47" s="416" t="inlineStr">
        <is>
          <t>Rounded:</t>
        </is>
      </c>
      <c r="H47" s="152">
        <f>ROUND(+H46,3)</f>
        <v/>
      </c>
    </row>
    <row r="52">
      <c r="J52" s="854" t="inlineStr">
        <is>
          <t>DEBT SERVICE COVERAGE RATIO</t>
        </is>
      </c>
      <c r="K52" s="806" t="n"/>
      <c r="L52" s="806" t="n"/>
      <c r="M52" s="806" t="n"/>
      <c r="N52" s="806" t="n"/>
      <c r="O52" s="806" t="n"/>
      <c r="P52" s="807" t="n"/>
      <c r="Q52" s="844" t="n"/>
      <c r="R52" s="844" t="n"/>
    </row>
    <row r="53">
      <c r="J53" s="855" t="inlineStr">
        <is>
          <t>DSCR</t>
        </is>
      </c>
      <c r="K53" s="856" t="inlineStr">
        <is>
          <t>x</t>
        </is>
      </c>
      <c r="L53" s="856" t="inlineStr">
        <is>
          <t>Rm</t>
        </is>
      </c>
      <c r="M53" s="856" t="inlineStr">
        <is>
          <t>x</t>
        </is>
      </c>
      <c r="N53" s="856" t="inlineStr">
        <is>
          <t>LTV</t>
        </is>
      </c>
      <c r="O53" s="856" t="inlineStr">
        <is>
          <t>=</t>
        </is>
      </c>
      <c r="P53" s="857" t="inlineStr">
        <is>
          <t>OAR</t>
        </is>
      </c>
      <c r="Q53" s="844" t="n"/>
      <c r="R53" s="844" t="n"/>
    </row>
    <row r="54">
      <c r="J54" s="858" t="n">
        <v>1.25</v>
      </c>
      <c r="K54" s="859" t="inlineStr">
        <is>
          <t>x</t>
        </is>
      </c>
      <c r="L54" s="860">
        <f>D11</f>
        <v/>
      </c>
      <c r="M54" s="859" t="inlineStr">
        <is>
          <t>x</t>
        </is>
      </c>
      <c r="N54" s="432">
        <f>G3</f>
        <v/>
      </c>
      <c r="O54" s="859" t="inlineStr">
        <is>
          <t>=</t>
        </is>
      </c>
      <c r="P54" s="861">
        <f>J54*L54*N54</f>
        <v/>
      </c>
      <c r="Q54" s="844" t="n"/>
      <c r="R54" s="844" t="n"/>
    </row>
    <row r="55">
      <c r="J55" s="862" t="n"/>
      <c r="K55" s="848" t="n"/>
      <c r="L55" s="848" t="n"/>
      <c r="M55" s="844" t="n"/>
      <c r="N55" s="150" t="n"/>
      <c r="O55" s="416" t="inlineStr">
        <is>
          <t>Indicated Overall Rate:</t>
        </is>
      </c>
      <c r="P55" s="863">
        <f>ROUND(P54,6)</f>
        <v/>
      </c>
      <c r="Q55" s="844" t="n"/>
      <c r="R55" s="844" t="n"/>
    </row>
    <row r="56">
      <c r="J56" s="864" t="n"/>
      <c r="K56" s="865" t="n"/>
      <c r="L56" s="865" t="n"/>
      <c r="M56" s="865" t="n"/>
      <c r="N56" s="865" t="n"/>
      <c r="O56" s="438" t="inlineStr">
        <is>
          <t>Rounded:</t>
        </is>
      </c>
      <c r="P56" s="439">
        <f>ROUND(P54,4)</f>
        <v/>
      </c>
      <c r="Q56" s="844" t="n"/>
      <c r="R56" s="844" t="n"/>
    </row>
    <row r="58">
      <c r="J58" s="854" t="inlineStr">
        <is>
          <t>BAND OF INVESTMENT</t>
        </is>
      </c>
      <c r="K58" s="806" t="n"/>
      <c r="L58" s="806" t="n"/>
      <c r="M58" s="806" t="n"/>
      <c r="N58" s="806" t="n"/>
      <c r="O58" s="806" t="n"/>
      <c r="P58" s="806" t="n"/>
      <c r="Q58" s="806" t="n"/>
      <c r="R58" s="807" t="n"/>
    </row>
    <row r="59" ht="27.4" customHeight="1" s="669">
      <c r="J59" s="866" t="inlineStr">
        <is>
          <t>Rm</t>
        </is>
      </c>
      <c r="K59" s="867" t="inlineStr">
        <is>
          <t>x</t>
        </is>
      </c>
      <c r="L59" s="867" t="inlineStr">
        <is>
          <t>LTV</t>
        </is>
      </c>
      <c r="M59" s="867" t="inlineStr">
        <is>
          <t>+</t>
        </is>
      </c>
      <c r="N59" s="867" t="inlineStr">
        <is>
          <t>Equity Yield</t>
        </is>
      </c>
      <c r="O59" s="867" t="inlineStr">
        <is>
          <t>x</t>
        </is>
      </c>
      <c r="P59" s="868" t="inlineStr">
        <is>
          <t>% Equity</t>
        </is>
      </c>
      <c r="Q59" s="856" t="inlineStr">
        <is>
          <t>=</t>
        </is>
      </c>
      <c r="R59" s="857" t="inlineStr">
        <is>
          <t>OAR</t>
        </is>
      </c>
    </row>
    <row r="60">
      <c r="J60" s="869">
        <f>D11</f>
        <v/>
      </c>
      <c r="K60" s="859" t="inlineStr">
        <is>
          <t>x</t>
        </is>
      </c>
      <c r="L60" s="444">
        <f>G3</f>
        <v/>
      </c>
      <c r="M60" s="859" t="inlineStr">
        <is>
          <t>+</t>
        </is>
      </c>
      <c r="N60" s="444">
        <f>D14</f>
        <v/>
      </c>
      <c r="O60" s="859" t="inlineStr">
        <is>
          <t>x</t>
        </is>
      </c>
      <c r="P60" s="444">
        <f>B14</f>
        <v/>
      </c>
      <c r="Q60" s="859" t="inlineStr">
        <is>
          <t>=</t>
        </is>
      </c>
      <c r="R60" s="870" t="n"/>
    </row>
    <row r="61">
      <c r="J61" s="871" t="n"/>
      <c r="K61" s="872">
        <f>J60*L60</f>
        <v/>
      </c>
      <c r="L61" s="860" t="n"/>
      <c r="M61" s="859" t="inlineStr">
        <is>
          <t>+</t>
        </is>
      </c>
      <c r="N61" s="860" t="n"/>
      <c r="O61" s="872">
        <f>N60*P60</f>
        <v/>
      </c>
      <c r="P61" s="860" t="n"/>
      <c r="Q61" s="859" t="inlineStr">
        <is>
          <t>=</t>
        </is>
      </c>
      <c r="R61" s="861">
        <f>K61+O61</f>
        <v/>
      </c>
    </row>
    <row r="62">
      <c r="J62" s="862" t="n"/>
      <c r="K62" s="848" t="n"/>
      <c r="L62" s="848" t="n"/>
      <c r="M62" s="844" t="n"/>
      <c r="N62" s="150" t="n"/>
      <c r="O62" s="150" t="n"/>
      <c r="P62" s="416" t="n"/>
      <c r="Q62" s="416" t="inlineStr">
        <is>
          <t>Indicated Overall Rate:</t>
        </is>
      </c>
      <c r="R62" s="863">
        <f>ROUND(R61,6)</f>
        <v/>
      </c>
    </row>
    <row r="63">
      <c r="J63" s="864" t="n"/>
      <c r="K63" s="865" t="n"/>
      <c r="L63" s="865" t="n"/>
      <c r="M63" s="865" t="n"/>
      <c r="N63" s="865" t="n"/>
      <c r="O63" s="865" t="n"/>
      <c r="P63" s="865" t="n"/>
      <c r="Q63" s="438" t="inlineStr">
        <is>
          <t>Rounded:</t>
        </is>
      </c>
      <c r="R63" s="448">
        <f>ROUND(R62,3)</f>
        <v/>
      </c>
    </row>
    <row r="64">
      <c r="J64" s="844" t="n"/>
      <c r="K64" s="848" t="n"/>
      <c r="L64" s="848" t="n"/>
      <c r="M64" s="848" t="n"/>
      <c r="N64" s="848" t="n"/>
      <c r="O64" s="848" t="n"/>
      <c r="P64" s="848" t="n"/>
      <c r="Q64" s="848" t="n"/>
      <c r="R64" s="150" t="n"/>
    </row>
    <row r="66">
      <c r="J66" s="141" t="inlineStr">
        <is>
          <t>Source</t>
        </is>
      </c>
      <c r="L66" s="873" t="inlineStr">
        <is>
          <t xml:space="preserve">Market Extraction: </t>
        </is>
      </c>
      <c r="N66" s="141" t="inlineStr">
        <is>
          <t>Investor Surveys:</t>
        </is>
      </c>
      <c r="P66" s="141" t="inlineStr">
        <is>
          <t>Band of Investment:</t>
        </is>
      </c>
      <c r="Q66" s="141" t="inlineStr">
        <is>
          <t>Mortgage Equity:</t>
        </is>
      </c>
      <c r="R66" s="141" t="inlineStr">
        <is>
          <t>DSCR Method:</t>
        </is>
      </c>
    </row>
    <row r="67">
      <c r="J67" s="141" t="inlineStr">
        <is>
          <t xml:space="preserve">Indicated OAR </t>
        </is>
      </c>
      <c r="L67" s="449" t="inlineStr">
        <is>
          <t>3.85% - 9.00%</t>
        </is>
      </c>
      <c r="N67" s="449" t="inlineStr">
        <is>
          <t>5.60% - 6.75%</t>
        </is>
      </c>
      <c r="P67" s="203" t="n">
        <v>0.078</v>
      </c>
      <c r="Q67" s="142" t="n">
        <v>0.06</v>
      </c>
      <c r="R67" s="203" t="n">
        <v>0.0622</v>
      </c>
    </row>
    <row r="74">
      <c r="J74" s="873" t="inlineStr">
        <is>
          <t xml:space="preserve">Market Extraction: </t>
        </is>
      </c>
      <c r="L74" s="449" t="inlineStr">
        <is>
          <t>3.85% - 9.00%</t>
        </is>
      </c>
    </row>
    <row r="75">
      <c r="J75" s="141" t="inlineStr">
        <is>
          <t>Investor Surveys:</t>
        </is>
      </c>
      <c r="L75" s="449" t="inlineStr">
        <is>
          <t>5.60% - 6.75%</t>
        </is>
      </c>
    </row>
    <row r="76">
      <c r="J76" s="141" t="inlineStr">
        <is>
          <t>Band of Investment:</t>
        </is>
      </c>
      <c r="L76" s="203" t="n">
        <v>0.078</v>
      </c>
    </row>
    <row r="77">
      <c r="J77" s="141" t="inlineStr">
        <is>
          <t>Mortgage Equity:</t>
        </is>
      </c>
      <c r="L77" s="142" t="n">
        <v>0.06</v>
      </c>
    </row>
    <row r="78">
      <c r="J78" s="141" t="inlineStr">
        <is>
          <t>DSCR Method:</t>
        </is>
      </c>
      <c r="L78" s="203" t="n">
        <v>0.0622</v>
      </c>
    </row>
  </sheetData>
  <mergeCells count="2">
    <mergeCell ref="J52:P52"/>
    <mergeCell ref="J58:R58"/>
  </mergeCells>
  <printOptions gridLinesSet="0"/>
  <pageMargins left="1.25" right="1" top="1" bottom="1" header="0.5" footer="0.5"/>
  <pageSetup orientation="portrait" horizontalDpi="4294967292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2"/>
  <sheetViews>
    <sheetView topLeftCell="B1" workbookViewId="0">
      <selection activeCell="O3" sqref="O3"/>
    </sheetView>
  </sheetViews>
  <sheetFormatPr baseColWidth="8" defaultRowHeight="13.9"/>
  <cols>
    <col width="6.6875" customWidth="1" style="314" min="1" max="1"/>
    <col width="8.5625" customWidth="1" style="314" min="2" max="2"/>
    <col width="22.75" customWidth="1" style="330" min="3" max="3"/>
    <col width="11.25" customWidth="1" style="330" min="4" max="4"/>
    <col width="11.3125" customWidth="1" style="330" min="5" max="5"/>
    <col width="10.8125" customWidth="1" style="314" min="6" max="6"/>
    <col width="6.875" customWidth="1" style="314" min="7" max="7"/>
    <col width="10.125" customWidth="1" style="314" min="8" max="8"/>
    <col width="11.375" customWidth="1" style="314" min="9" max="9"/>
    <col width="10.125" customWidth="1" style="314" min="10" max="10"/>
    <col width="15.5" customWidth="1" style="330" min="11" max="11"/>
    <col width="10.125" customWidth="1" style="314" min="12" max="12"/>
    <col width="10.4375" bestFit="1" customWidth="1" style="314" min="13" max="13"/>
    <col width="9" customWidth="1" style="314" min="14" max="14"/>
    <col width="10.0625" bestFit="1" customWidth="1" style="314" min="15" max="15"/>
    <col width="9" customWidth="1" style="314" min="16" max="16"/>
    <col width="10.0625" bestFit="1" customWidth="1" style="314" min="17" max="17"/>
    <col width="9" customWidth="1" style="314" min="18" max="18"/>
    <col width="10.0625" bestFit="1" customWidth="1" style="314" min="19" max="19"/>
    <col width="9" customWidth="1" style="314" min="20" max="20"/>
    <col width="10.4375" bestFit="1" customWidth="1" style="314" min="21" max="21"/>
    <col width="9" customWidth="1" style="314" min="22" max="258"/>
    <col width="10.3125" customWidth="1" style="314" min="259" max="259"/>
    <col width="19.8125" customWidth="1" style="314" min="260" max="260"/>
    <col width="11.625" customWidth="1" style="314" min="261" max="261"/>
    <col width="10.4375" customWidth="1" style="314" min="262" max="262"/>
    <col width="8.1875" customWidth="1" style="314" min="263" max="263"/>
    <col width="7.875" customWidth="1" style="314" min="264" max="264"/>
    <col width="4.125" customWidth="1" style="314" min="265" max="265"/>
    <col width="9" customWidth="1" style="314" min="266" max="266"/>
    <col width="9.5" customWidth="1" style="314" min="267" max="267"/>
    <col width="9" customWidth="1" style="314" min="268" max="514"/>
    <col width="10.3125" customWidth="1" style="314" min="515" max="515"/>
    <col width="19.8125" customWidth="1" style="314" min="516" max="516"/>
    <col width="11.625" customWidth="1" style="314" min="517" max="517"/>
    <col width="10.4375" customWidth="1" style="314" min="518" max="518"/>
    <col width="8.1875" customWidth="1" style="314" min="519" max="519"/>
    <col width="7.875" customWidth="1" style="314" min="520" max="520"/>
    <col width="4.125" customWidth="1" style="314" min="521" max="521"/>
    <col width="9" customWidth="1" style="314" min="522" max="522"/>
    <col width="9.5" customWidth="1" style="314" min="523" max="523"/>
    <col width="9" customWidth="1" style="314" min="524" max="770"/>
    <col width="10.3125" customWidth="1" style="314" min="771" max="771"/>
    <col width="19.8125" customWidth="1" style="314" min="772" max="772"/>
    <col width="11.625" customWidth="1" style="314" min="773" max="773"/>
    <col width="10.4375" customWidth="1" style="314" min="774" max="774"/>
    <col width="8.1875" customWidth="1" style="314" min="775" max="775"/>
    <col width="7.875" customWidth="1" style="314" min="776" max="776"/>
    <col width="4.125" customWidth="1" style="314" min="777" max="777"/>
    <col width="9" customWidth="1" style="314" min="778" max="778"/>
    <col width="9.5" customWidth="1" style="314" min="779" max="779"/>
    <col width="9" customWidth="1" style="314" min="780" max="1026"/>
    <col width="10.3125" customWidth="1" style="314" min="1027" max="1027"/>
    <col width="19.8125" customWidth="1" style="314" min="1028" max="1028"/>
    <col width="11.625" customWidth="1" style="314" min="1029" max="1029"/>
    <col width="10.4375" customWidth="1" style="314" min="1030" max="1030"/>
    <col width="8.1875" customWidth="1" style="314" min="1031" max="1031"/>
    <col width="7.875" customWidth="1" style="314" min="1032" max="1032"/>
    <col width="4.125" customWidth="1" style="314" min="1033" max="1033"/>
    <col width="9" customWidth="1" style="314" min="1034" max="1034"/>
    <col width="9.5" customWidth="1" style="314" min="1035" max="1035"/>
    <col width="9" customWidth="1" style="314" min="1036" max="1282"/>
    <col width="10.3125" customWidth="1" style="314" min="1283" max="1283"/>
    <col width="19.8125" customWidth="1" style="314" min="1284" max="1284"/>
    <col width="11.625" customWidth="1" style="314" min="1285" max="1285"/>
    <col width="10.4375" customWidth="1" style="314" min="1286" max="1286"/>
    <col width="8.1875" customWidth="1" style="314" min="1287" max="1287"/>
    <col width="7.875" customWidth="1" style="314" min="1288" max="1288"/>
    <col width="4.125" customWidth="1" style="314" min="1289" max="1289"/>
    <col width="9" customWidth="1" style="314" min="1290" max="1290"/>
    <col width="9.5" customWidth="1" style="314" min="1291" max="1291"/>
    <col width="9" customWidth="1" style="314" min="1292" max="1538"/>
    <col width="10.3125" customWidth="1" style="314" min="1539" max="1539"/>
    <col width="19.8125" customWidth="1" style="314" min="1540" max="1540"/>
    <col width="11.625" customWidth="1" style="314" min="1541" max="1541"/>
    <col width="10.4375" customWidth="1" style="314" min="1542" max="1542"/>
    <col width="8.1875" customWidth="1" style="314" min="1543" max="1543"/>
    <col width="7.875" customWidth="1" style="314" min="1544" max="1544"/>
    <col width="4.125" customWidth="1" style="314" min="1545" max="1545"/>
    <col width="9" customWidth="1" style="314" min="1546" max="1546"/>
    <col width="9.5" customWidth="1" style="314" min="1547" max="1547"/>
    <col width="9" customWidth="1" style="314" min="1548" max="1794"/>
    <col width="10.3125" customWidth="1" style="314" min="1795" max="1795"/>
    <col width="19.8125" customWidth="1" style="314" min="1796" max="1796"/>
    <col width="11.625" customWidth="1" style="314" min="1797" max="1797"/>
    <col width="10.4375" customWidth="1" style="314" min="1798" max="1798"/>
    <col width="8.1875" customWidth="1" style="314" min="1799" max="1799"/>
    <col width="7.875" customWidth="1" style="314" min="1800" max="1800"/>
    <col width="4.125" customWidth="1" style="314" min="1801" max="1801"/>
    <col width="9" customWidth="1" style="314" min="1802" max="1802"/>
    <col width="9.5" customWidth="1" style="314" min="1803" max="1803"/>
    <col width="9" customWidth="1" style="314" min="1804" max="2050"/>
    <col width="10.3125" customWidth="1" style="314" min="2051" max="2051"/>
    <col width="19.8125" customWidth="1" style="314" min="2052" max="2052"/>
    <col width="11.625" customWidth="1" style="314" min="2053" max="2053"/>
    <col width="10.4375" customWidth="1" style="314" min="2054" max="2054"/>
    <col width="8.1875" customWidth="1" style="314" min="2055" max="2055"/>
    <col width="7.875" customWidth="1" style="314" min="2056" max="2056"/>
    <col width="4.125" customWidth="1" style="314" min="2057" max="2057"/>
    <col width="9" customWidth="1" style="314" min="2058" max="2058"/>
    <col width="9.5" customWidth="1" style="314" min="2059" max="2059"/>
    <col width="9" customWidth="1" style="314" min="2060" max="2306"/>
    <col width="10.3125" customWidth="1" style="314" min="2307" max="2307"/>
    <col width="19.8125" customWidth="1" style="314" min="2308" max="2308"/>
    <col width="11.625" customWidth="1" style="314" min="2309" max="2309"/>
    <col width="10.4375" customWidth="1" style="314" min="2310" max="2310"/>
    <col width="8.1875" customWidth="1" style="314" min="2311" max="2311"/>
    <col width="7.875" customWidth="1" style="314" min="2312" max="2312"/>
    <col width="4.125" customWidth="1" style="314" min="2313" max="2313"/>
    <col width="9" customWidth="1" style="314" min="2314" max="2314"/>
    <col width="9.5" customWidth="1" style="314" min="2315" max="2315"/>
    <col width="9" customWidth="1" style="314" min="2316" max="2562"/>
    <col width="10.3125" customWidth="1" style="314" min="2563" max="2563"/>
    <col width="19.8125" customWidth="1" style="314" min="2564" max="2564"/>
    <col width="11.625" customWidth="1" style="314" min="2565" max="2565"/>
    <col width="10.4375" customWidth="1" style="314" min="2566" max="2566"/>
    <col width="8.1875" customWidth="1" style="314" min="2567" max="2567"/>
    <col width="7.875" customWidth="1" style="314" min="2568" max="2568"/>
    <col width="4.125" customWidth="1" style="314" min="2569" max="2569"/>
    <col width="9" customWidth="1" style="314" min="2570" max="2570"/>
    <col width="9.5" customWidth="1" style="314" min="2571" max="2571"/>
    <col width="9" customWidth="1" style="314" min="2572" max="2818"/>
    <col width="10.3125" customWidth="1" style="314" min="2819" max="2819"/>
    <col width="19.8125" customWidth="1" style="314" min="2820" max="2820"/>
    <col width="11.625" customWidth="1" style="314" min="2821" max="2821"/>
    <col width="10.4375" customWidth="1" style="314" min="2822" max="2822"/>
    <col width="8.1875" customWidth="1" style="314" min="2823" max="2823"/>
    <col width="7.875" customWidth="1" style="314" min="2824" max="2824"/>
    <col width="4.125" customWidth="1" style="314" min="2825" max="2825"/>
    <col width="9" customWidth="1" style="314" min="2826" max="2826"/>
    <col width="9.5" customWidth="1" style="314" min="2827" max="2827"/>
    <col width="9" customWidth="1" style="314" min="2828" max="3074"/>
    <col width="10.3125" customWidth="1" style="314" min="3075" max="3075"/>
    <col width="19.8125" customWidth="1" style="314" min="3076" max="3076"/>
    <col width="11.625" customWidth="1" style="314" min="3077" max="3077"/>
    <col width="10.4375" customWidth="1" style="314" min="3078" max="3078"/>
    <col width="8.1875" customWidth="1" style="314" min="3079" max="3079"/>
    <col width="7.875" customWidth="1" style="314" min="3080" max="3080"/>
    <col width="4.125" customWidth="1" style="314" min="3081" max="3081"/>
    <col width="9" customWidth="1" style="314" min="3082" max="3082"/>
    <col width="9.5" customWidth="1" style="314" min="3083" max="3083"/>
    <col width="9" customWidth="1" style="314" min="3084" max="3330"/>
    <col width="10.3125" customWidth="1" style="314" min="3331" max="3331"/>
    <col width="19.8125" customWidth="1" style="314" min="3332" max="3332"/>
    <col width="11.625" customWidth="1" style="314" min="3333" max="3333"/>
    <col width="10.4375" customWidth="1" style="314" min="3334" max="3334"/>
    <col width="8.1875" customWidth="1" style="314" min="3335" max="3335"/>
    <col width="7.875" customWidth="1" style="314" min="3336" max="3336"/>
    <col width="4.125" customWidth="1" style="314" min="3337" max="3337"/>
    <col width="9" customWidth="1" style="314" min="3338" max="3338"/>
    <col width="9.5" customWidth="1" style="314" min="3339" max="3339"/>
    <col width="9" customWidth="1" style="314" min="3340" max="3586"/>
    <col width="10.3125" customWidth="1" style="314" min="3587" max="3587"/>
    <col width="19.8125" customWidth="1" style="314" min="3588" max="3588"/>
    <col width="11.625" customWidth="1" style="314" min="3589" max="3589"/>
    <col width="10.4375" customWidth="1" style="314" min="3590" max="3590"/>
    <col width="8.1875" customWidth="1" style="314" min="3591" max="3591"/>
    <col width="7.875" customWidth="1" style="314" min="3592" max="3592"/>
    <col width="4.125" customWidth="1" style="314" min="3593" max="3593"/>
    <col width="9" customWidth="1" style="314" min="3594" max="3594"/>
    <col width="9.5" customWidth="1" style="314" min="3595" max="3595"/>
    <col width="9" customWidth="1" style="314" min="3596" max="3842"/>
    <col width="10.3125" customWidth="1" style="314" min="3843" max="3843"/>
    <col width="19.8125" customWidth="1" style="314" min="3844" max="3844"/>
    <col width="11.625" customWidth="1" style="314" min="3845" max="3845"/>
    <col width="10.4375" customWidth="1" style="314" min="3846" max="3846"/>
    <col width="8.1875" customWidth="1" style="314" min="3847" max="3847"/>
    <col width="7.875" customWidth="1" style="314" min="3848" max="3848"/>
    <col width="4.125" customWidth="1" style="314" min="3849" max="3849"/>
    <col width="9" customWidth="1" style="314" min="3850" max="3850"/>
    <col width="9.5" customWidth="1" style="314" min="3851" max="3851"/>
    <col width="9" customWidth="1" style="314" min="3852" max="4098"/>
    <col width="10.3125" customWidth="1" style="314" min="4099" max="4099"/>
    <col width="19.8125" customWidth="1" style="314" min="4100" max="4100"/>
    <col width="11.625" customWidth="1" style="314" min="4101" max="4101"/>
    <col width="10.4375" customWidth="1" style="314" min="4102" max="4102"/>
    <col width="8.1875" customWidth="1" style="314" min="4103" max="4103"/>
    <col width="7.875" customWidth="1" style="314" min="4104" max="4104"/>
    <col width="4.125" customWidth="1" style="314" min="4105" max="4105"/>
    <col width="9" customWidth="1" style="314" min="4106" max="4106"/>
    <col width="9.5" customWidth="1" style="314" min="4107" max="4107"/>
    <col width="9" customWidth="1" style="314" min="4108" max="4354"/>
    <col width="10.3125" customWidth="1" style="314" min="4355" max="4355"/>
    <col width="19.8125" customWidth="1" style="314" min="4356" max="4356"/>
    <col width="11.625" customWidth="1" style="314" min="4357" max="4357"/>
    <col width="10.4375" customWidth="1" style="314" min="4358" max="4358"/>
    <col width="8.1875" customWidth="1" style="314" min="4359" max="4359"/>
    <col width="7.875" customWidth="1" style="314" min="4360" max="4360"/>
    <col width="4.125" customWidth="1" style="314" min="4361" max="4361"/>
    <col width="9" customWidth="1" style="314" min="4362" max="4362"/>
    <col width="9.5" customWidth="1" style="314" min="4363" max="4363"/>
    <col width="9" customWidth="1" style="314" min="4364" max="4610"/>
    <col width="10.3125" customWidth="1" style="314" min="4611" max="4611"/>
    <col width="19.8125" customWidth="1" style="314" min="4612" max="4612"/>
    <col width="11.625" customWidth="1" style="314" min="4613" max="4613"/>
    <col width="10.4375" customWidth="1" style="314" min="4614" max="4614"/>
    <col width="8.1875" customWidth="1" style="314" min="4615" max="4615"/>
    <col width="7.875" customWidth="1" style="314" min="4616" max="4616"/>
    <col width="4.125" customWidth="1" style="314" min="4617" max="4617"/>
    <col width="9" customWidth="1" style="314" min="4618" max="4618"/>
    <col width="9.5" customWidth="1" style="314" min="4619" max="4619"/>
    <col width="9" customWidth="1" style="314" min="4620" max="4866"/>
    <col width="10.3125" customWidth="1" style="314" min="4867" max="4867"/>
    <col width="19.8125" customWidth="1" style="314" min="4868" max="4868"/>
    <col width="11.625" customWidth="1" style="314" min="4869" max="4869"/>
    <col width="10.4375" customWidth="1" style="314" min="4870" max="4870"/>
    <col width="8.1875" customWidth="1" style="314" min="4871" max="4871"/>
    <col width="7.875" customWidth="1" style="314" min="4872" max="4872"/>
    <col width="4.125" customWidth="1" style="314" min="4873" max="4873"/>
    <col width="9" customWidth="1" style="314" min="4874" max="4874"/>
    <col width="9.5" customWidth="1" style="314" min="4875" max="4875"/>
    <col width="9" customWidth="1" style="314" min="4876" max="5122"/>
    <col width="10.3125" customWidth="1" style="314" min="5123" max="5123"/>
    <col width="19.8125" customWidth="1" style="314" min="5124" max="5124"/>
    <col width="11.625" customWidth="1" style="314" min="5125" max="5125"/>
    <col width="10.4375" customWidth="1" style="314" min="5126" max="5126"/>
    <col width="8.1875" customWidth="1" style="314" min="5127" max="5127"/>
    <col width="7.875" customWidth="1" style="314" min="5128" max="5128"/>
    <col width="4.125" customWidth="1" style="314" min="5129" max="5129"/>
    <col width="9" customWidth="1" style="314" min="5130" max="5130"/>
    <col width="9.5" customWidth="1" style="314" min="5131" max="5131"/>
    <col width="9" customWidth="1" style="314" min="5132" max="5378"/>
    <col width="10.3125" customWidth="1" style="314" min="5379" max="5379"/>
    <col width="19.8125" customWidth="1" style="314" min="5380" max="5380"/>
    <col width="11.625" customWidth="1" style="314" min="5381" max="5381"/>
    <col width="10.4375" customWidth="1" style="314" min="5382" max="5382"/>
    <col width="8.1875" customWidth="1" style="314" min="5383" max="5383"/>
    <col width="7.875" customWidth="1" style="314" min="5384" max="5384"/>
    <col width="4.125" customWidth="1" style="314" min="5385" max="5385"/>
    <col width="9" customWidth="1" style="314" min="5386" max="5386"/>
    <col width="9.5" customWidth="1" style="314" min="5387" max="5387"/>
    <col width="9" customWidth="1" style="314" min="5388" max="5634"/>
    <col width="10.3125" customWidth="1" style="314" min="5635" max="5635"/>
    <col width="19.8125" customWidth="1" style="314" min="5636" max="5636"/>
    <col width="11.625" customWidth="1" style="314" min="5637" max="5637"/>
    <col width="10.4375" customWidth="1" style="314" min="5638" max="5638"/>
    <col width="8.1875" customWidth="1" style="314" min="5639" max="5639"/>
    <col width="7.875" customWidth="1" style="314" min="5640" max="5640"/>
    <col width="4.125" customWidth="1" style="314" min="5641" max="5641"/>
    <col width="9" customWidth="1" style="314" min="5642" max="5642"/>
    <col width="9.5" customWidth="1" style="314" min="5643" max="5643"/>
    <col width="9" customWidth="1" style="314" min="5644" max="5890"/>
    <col width="10.3125" customWidth="1" style="314" min="5891" max="5891"/>
    <col width="19.8125" customWidth="1" style="314" min="5892" max="5892"/>
    <col width="11.625" customWidth="1" style="314" min="5893" max="5893"/>
    <col width="10.4375" customWidth="1" style="314" min="5894" max="5894"/>
    <col width="8.1875" customWidth="1" style="314" min="5895" max="5895"/>
    <col width="7.875" customWidth="1" style="314" min="5896" max="5896"/>
    <col width="4.125" customWidth="1" style="314" min="5897" max="5897"/>
    <col width="9" customWidth="1" style="314" min="5898" max="5898"/>
    <col width="9.5" customWidth="1" style="314" min="5899" max="5899"/>
    <col width="9" customWidth="1" style="314" min="5900" max="6146"/>
    <col width="10.3125" customWidth="1" style="314" min="6147" max="6147"/>
    <col width="19.8125" customWidth="1" style="314" min="6148" max="6148"/>
    <col width="11.625" customWidth="1" style="314" min="6149" max="6149"/>
    <col width="10.4375" customWidth="1" style="314" min="6150" max="6150"/>
    <col width="8.1875" customWidth="1" style="314" min="6151" max="6151"/>
    <col width="7.875" customWidth="1" style="314" min="6152" max="6152"/>
    <col width="4.125" customWidth="1" style="314" min="6153" max="6153"/>
    <col width="9" customWidth="1" style="314" min="6154" max="6154"/>
    <col width="9.5" customWidth="1" style="314" min="6155" max="6155"/>
    <col width="9" customWidth="1" style="314" min="6156" max="6402"/>
    <col width="10.3125" customWidth="1" style="314" min="6403" max="6403"/>
    <col width="19.8125" customWidth="1" style="314" min="6404" max="6404"/>
    <col width="11.625" customWidth="1" style="314" min="6405" max="6405"/>
    <col width="10.4375" customWidth="1" style="314" min="6406" max="6406"/>
    <col width="8.1875" customWidth="1" style="314" min="6407" max="6407"/>
    <col width="7.875" customWidth="1" style="314" min="6408" max="6408"/>
    <col width="4.125" customWidth="1" style="314" min="6409" max="6409"/>
    <col width="9" customWidth="1" style="314" min="6410" max="6410"/>
    <col width="9.5" customWidth="1" style="314" min="6411" max="6411"/>
    <col width="9" customWidth="1" style="314" min="6412" max="6658"/>
    <col width="10.3125" customWidth="1" style="314" min="6659" max="6659"/>
    <col width="19.8125" customWidth="1" style="314" min="6660" max="6660"/>
    <col width="11.625" customWidth="1" style="314" min="6661" max="6661"/>
    <col width="10.4375" customWidth="1" style="314" min="6662" max="6662"/>
    <col width="8.1875" customWidth="1" style="314" min="6663" max="6663"/>
    <col width="7.875" customWidth="1" style="314" min="6664" max="6664"/>
    <col width="4.125" customWidth="1" style="314" min="6665" max="6665"/>
    <col width="9" customWidth="1" style="314" min="6666" max="6666"/>
    <col width="9.5" customWidth="1" style="314" min="6667" max="6667"/>
    <col width="9" customWidth="1" style="314" min="6668" max="6914"/>
    <col width="10.3125" customWidth="1" style="314" min="6915" max="6915"/>
    <col width="19.8125" customWidth="1" style="314" min="6916" max="6916"/>
    <col width="11.625" customWidth="1" style="314" min="6917" max="6917"/>
    <col width="10.4375" customWidth="1" style="314" min="6918" max="6918"/>
    <col width="8.1875" customWidth="1" style="314" min="6919" max="6919"/>
    <col width="7.875" customWidth="1" style="314" min="6920" max="6920"/>
    <col width="4.125" customWidth="1" style="314" min="6921" max="6921"/>
    <col width="9" customWidth="1" style="314" min="6922" max="6922"/>
    <col width="9.5" customWidth="1" style="314" min="6923" max="6923"/>
    <col width="9" customWidth="1" style="314" min="6924" max="7170"/>
    <col width="10.3125" customWidth="1" style="314" min="7171" max="7171"/>
    <col width="19.8125" customWidth="1" style="314" min="7172" max="7172"/>
    <col width="11.625" customWidth="1" style="314" min="7173" max="7173"/>
    <col width="10.4375" customWidth="1" style="314" min="7174" max="7174"/>
    <col width="8.1875" customWidth="1" style="314" min="7175" max="7175"/>
    <col width="7.875" customWidth="1" style="314" min="7176" max="7176"/>
    <col width="4.125" customWidth="1" style="314" min="7177" max="7177"/>
    <col width="9" customWidth="1" style="314" min="7178" max="7178"/>
    <col width="9.5" customWidth="1" style="314" min="7179" max="7179"/>
    <col width="9" customWidth="1" style="314" min="7180" max="7426"/>
    <col width="10.3125" customWidth="1" style="314" min="7427" max="7427"/>
    <col width="19.8125" customWidth="1" style="314" min="7428" max="7428"/>
    <col width="11.625" customWidth="1" style="314" min="7429" max="7429"/>
    <col width="10.4375" customWidth="1" style="314" min="7430" max="7430"/>
    <col width="8.1875" customWidth="1" style="314" min="7431" max="7431"/>
    <col width="7.875" customWidth="1" style="314" min="7432" max="7432"/>
    <col width="4.125" customWidth="1" style="314" min="7433" max="7433"/>
    <col width="9" customWidth="1" style="314" min="7434" max="7434"/>
    <col width="9.5" customWidth="1" style="314" min="7435" max="7435"/>
    <col width="9" customWidth="1" style="314" min="7436" max="7682"/>
    <col width="10.3125" customWidth="1" style="314" min="7683" max="7683"/>
    <col width="19.8125" customWidth="1" style="314" min="7684" max="7684"/>
    <col width="11.625" customWidth="1" style="314" min="7685" max="7685"/>
    <col width="10.4375" customWidth="1" style="314" min="7686" max="7686"/>
    <col width="8.1875" customWidth="1" style="314" min="7687" max="7687"/>
    <col width="7.875" customWidth="1" style="314" min="7688" max="7688"/>
    <col width="4.125" customWidth="1" style="314" min="7689" max="7689"/>
    <col width="9" customWidth="1" style="314" min="7690" max="7690"/>
    <col width="9.5" customWidth="1" style="314" min="7691" max="7691"/>
    <col width="9" customWidth="1" style="314" min="7692" max="7938"/>
    <col width="10.3125" customWidth="1" style="314" min="7939" max="7939"/>
    <col width="19.8125" customWidth="1" style="314" min="7940" max="7940"/>
    <col width="11.625" customWidth="1" style="314" min="7941" max="7941"/>
    <col width="10.4375" customWidth="1" style="314" min="7942" max="7942"/>
    <col width="8.1875" customWidth="1" style="314" min="7943" max="7943"/>
    <col width="7.875" customWidth="1" style="314" min="7944" max="7944"/>
    <col width="4.125" customWidth="1" style="314" min="7945" max="7945"/>
    <col width="9" customWidth="1" style="314" min="7946" max="7946"/>
    <col width="9.5" customWidth="1" style="314" min="7947" max="7947"/>
    <col width="9" customWidth="1" style="314" min="7948" max="8194"/>
    <col width="10.3125" customWidth="1" style="314" min="8195" max="8195"/>
    <col width="19.8125" customWidth="1" style="314" min="8196" max="8196"/>
    <col width="11.625" customWidth="1" style="314" min="8197" max="8197"/>
    <col width="10.4375" customWidth="1" style="314" min="8198" max="8198"/>
    <col width="8.1875" customWidth="1" style="314" min="8199" max="8199"/>
    <col width="7.875" customWidth="1" style="314" min="8200" max="8200"/>
    <col width="4.125" customWidth="1" style="314" min="8201" max="8201"/>
    <col width="9" customWidth="1" style="314" min="8202" max="8202"/>
    <col width="9.5" customWidth="1" style="314" min="8203" max="8203"/>
    <col width="9" customWidth="1" style="314" min="8204" max="8450"/>
    <col width="10.3125" customWidth="1" style="314" min="8451" max="8451"/>
    <col width="19.8125" customWidth="1" style="314" min="8452" max="8452"/>
    <col width="11.625" customWidth="1" style="314" min="8453" max="8453"/>
    <col width="10.4375" customWidth="1" style="314" min="8454" max="8454"/>
    <col width="8.1875" customWidth="1" style="314" min="8455" max="8455"/>
    <col width="7.875" customWidth="1" style="314" min="8456" max="8456"/>
    <col width="4.125" customWidth="1" style="314" min="8457" max="8457"/>
    <col width="9" customWidth="1" style="314" min="8458" max="8458"/>
    <col width="9.5" customWidth="1" style="314" min="8459" max="8459"/>
    <col width="9" customWidth="1" style="314" min="8460" max="8706"/>
    <col width="10.3125" customWidth="1" style="314" min="8707" max="8707"/>
    <col width="19.8125" customWidth="1" style="314" min="8708" max="8708"/>
    <col width="11.625" customWidth="1" style="314" min="8709" max="8709"/>
    <col width="10.4375" customWidth="1" style="314" min="8710" max="8710"/>
    <col width="8.1875" customWidth="1" style="314" min="8711" max="8711"/>
    <col width="7.875" customWidth="1" style="314" min="8712" max="8712"/>
    <col width="4.125" customWidth="1" style="314" min="8713" max="8713"/>
    <col width="9" customWidth="1" style="314" min="8714" max="8714"/>
    <col width="9.5" customWidth="1" style="314" min="8715" max="8715"/>
    <col width="9" customWidth="1" style="314" min="8716" max="8962"/>
    <col width="10.3125" customWidth="1" style="314" min="8963" max="8963"/>
    <col width="19.8125" customWidth="1" style="314" min="8964" max="8964"/>
    <col width="11.625" customWidth="1" style="314" min="8965" max="8965"/>
    <col width="10.4375" customWidth="1" style="314" min="8966" max="8966"/>
    <col width="8.1875" customWidth="1" style="314" min="8967" max="8967"/>
    <col width="7.875" customWidth="1" style="314" min="8968" max="8968"/>
    <col width="4.125" customWidth="1" style="314" min="8969" max="8969"/>
    <col width="9" customWidth="1" style="314" min="8970" max="8970"/>
    <col width="9.5" customWidth="1" style="314" min="8971" max="8971"/>
    <col width="9" customWidth="1" style="314" min="8972" max="9218"/>
    <col width="10.3125" customWidth="1" style="314" min="9219" max="9219"/>
    <col width="19.8125" customWidth="1" style="314" min="9220" max="9220"/>
    <col width="11.625" customWidth="1" style="314" min="9221" max="9221"/>
    <col width="10.4375" customWidth="1" style="314" min="9222" max="9222"/>
    <col width="8.1875" customWidth="1" style="314" min="9223" max="9223"/>
    <col width="7.875" customWidth="1" style="314" min="9224" max="9224"/>
    <col width="4.125" customWidth="1" style="314" min="9225" max="9225"/>
    <col width="9" customWidth="1" style="314" min="9226" max="9226"/>
    <col width="9.5" customWidth="1" style="314" min="9227" max="9227"/>
    <col width="9" customWidth="1" style="314" min="9228" max="9474"/>
    <col width="10.3125" customWidth="1" style="314" min="9475" max="9475"/>
    <col width="19.8125" customWidth="1" style="314" min="9476" max="9476"/>
    <col width="11.625" customWidth="1" style="314" min="9477" max="9477"/>
    <col width="10.4375" customWidth="1" style="314" min="9478" max="9478"/>
    <col width="8.1875" customWidth="1" style="314" min="9479" max="9479"/>
    <col width="7.875" customWidth="1" style="314" min="9480" max="9480"/>
    <col width="4.125" customWidth="1" style="314" min="9481" max="9481"/>
    <col width="9" customWidth="1" style="314" min="9482" max="9482"/>
    <col width="9.5" customWidth="1" style="314" min="9483" max="9483"/>
    <col width="9" customWidth="1" style="314" min="9484" max="9730"/>
    <col width="10.3125" customWidth="1" style="314" min="9731" max="9731"/>
    <col width="19.8125" customWidth="1" style="314" min="9732" max="9732"/>
    <col width="11.625" customWidth="1" style="314" min="9733" max="9733"/>
    <col width="10.4375" customWidth="1" style="314" min="9734" max="9734"/>
    <col width="8.1875" customWidth="1" style="314" min="9735" max="9735"/>
    <col width="7.875" customWidth="1" style="314" min="9736" max="9736"/>
    <col width="4.125" customWidth="1" style="314" min="9737" max="9737"/>
    <col width="9" customWidth="1" style="314" min="9738" max="9738"/>
    <col width="9.5" customWidth="1" style="314" min="9739" max="9739"/>
    <col width="9" customWidth="1" style="314" min="9740" max="9986"/>
    <col width="10.3125" customWidth="1" style="314" min="9987" max="9987"/>
    <col width="19.8125" customWidth="1" style="314" min="9988" max="9988"/>
    <col width="11.625" customWidth="1" style="314" min="9989" max="9989"/>
    <col width="10.4375" customWidth="1" style="314" min="9990" max="9990"/>
    <col width="8.1875" customWidth="1" style="314" min="9991" max="9991"/>
    <col width="7.875" customWidth="1" style="314" min="9992" max="9992"/>
    <col width="4.125" customWidth="1" style="314" min="9993" max="9993"/>
    <col width="9" customWidth="1" style="314" min="9994" max="9994"/>
    <col width="9.5" customWidth="1" style="314" min="9995" max="9995"/>
    <col width="9" customWidth="1" style="314" min="9996" max="10242"/>
    <col width="10.3125" customWidth="1" style="314" min="10243" max="10243"/>
    <col width="19.8125" customWidth="1" style="314" min="10244" max="10244"/>
    <col width="11.625" customWidth="1" style="314" min="10245" max="10245"/>
    <col width="10.4375" customWidth="1" style="314" min="10246" max="10246"/>
    <col width="8.1875" customWidth="1" style="314" min="10247" max="10247"/>
    <col width="7.875" customWidth="1" style="314" min="10248" max="10248"/>
    <col width="4.125" customWidth="1" style="314" min="10249" max="10249"/>
    <col width="9" customWidth="1" style="314" min="10250" max="10250"/>
    <col width="9.5" customWidth="1" style="314" min="10251" max="10251"/>
    <col width="9" customWidth="1" style="314" min="10252" max="10498"/>
    <col width="10.3125" customWidth="1" style="314" min="10499" max="10499"/>
    <col width="19.8125" customWidth="1" style="314" min="10500" max="10500"/>
    <col width="11.625" customWidth="1" style="314" min="10501" max="10501"/>
    <col width="10.4375" customWidth="1" style="314" min="10502" max="10502"/>
    <col width="8.1875" customWidth="1" style="314" min="10503" max="10503"/>
    <col width="7.875" customWidth="1" style="314" min="10504" max="10504"/>
    <col width="4.125" customWidth="1" style="314" min="10505" max="10505"/>
    <col width="9" customWidth="1" style="314" min="10506" max="10506"/>
    <col width="9.5" customWidth="1" style="314" min="10507" max="10507"/>
    <col width="9" customWidth="1" style="314" min="10508" max="10754"/>
    <col width="10.3125" customWidth="1" style="314" min="10755" max="10755"/>
    <col width="19.8125" customWidth="1" style="314" min="10756" max="10756"/>
    <col width="11.625" customWidth="1" style="314" min="10757" max="10757"/>
    <col width="10.4375" customWidth="1" style="314" min="10758" max="10758"/>
    <col width="8.1875" customWidth="1" style="314" min="10759" max="10759"/>
    <col width="7.875" customWidth="1" style="314" min="10760" max="10760"/>
    <col width="4.125" customWidth="1" style="314" min="10761" max="10761"/>
    <col width="9" customWidth="1" style="314" min="10762" max="10762"/>
    <col width="9.5" customWidth="1" style="314" min="10763" max="10763"/>
    <col width="9" customWidth="1" style="314" min="10764" max="11010"/>
    <col width="10.3125" customWidth="1" style="314" min="11011" max="11011"/>
    <col width="19.8125" customWidth="1" style="314" min="11012" max="11012"/>
    <col width="11.625" customWidth="1" style="314" min="11013" max="11013"/>
    <col width="10.4375" customWidth="1" style="314" min="11014" max="11014"/>
    <col width="8.1875" customWidth="1" style="314" min="11015" max="11015"/>
    <col width="7.875" customWidth="1" style="314" min="11016" max="11016"/>
    <col width="4.125" customWidth="1" style="314" min="11017" max="11017"/>
    <col width="9" customWidth="1" style="314" min="11018" max="11018"/>
    <col width="9.5" customWidth="1" style="314" min="11019" max="11019"/>
    <col width="9" customWidth="1" style="314" min="11020" max="11266"/>
    <col width="10.3125" customWidth="1" style="314" min="11267" max="11267"/>
    <col width="19.8125" customWidth="1" style="314" min="11268" max="11268"/>
    <col width="11.625" customWidth="1" style="314" min="11269" max="11269"/>
    <col width="10.4375" customWidth="1" style="314" min="11270" max="11270"/>
    <col width="8.1875" customWidth="1" style="314" min="11271" max="11271"/>
    <col width="7.875" customWidth="1" style="314" min="11272" max="11272"/>
    <col width="4.125" customWidth="1" style="314" min="11273" max="11273"/>
    <col width="9" customWidth="1" style="314" min="11274" max="11274"/>
    <col width="9.5" customWidth="1" style="314" min="11275" max="11275"/>
    <col width="9" customWidth="1" style="314" min="11276" max="11522"/>
    <col width="10.3125" customWidth="1" style="314" min="11523" max="11523"/>
    <col width="19.8125" customWidth="1" style="314" min="11524" max="11524"/>
    <col width="11.625" customWidth="1" style="314" min="11525" max="11525"/>
    <col width="10.4375" customWidth="1" style="314" min="11526" max="11526"/>
    <col width="8.1875" customWidth="1" style="314" min="11527" max="11527"/>
    <col width="7.875" customWidth="1" style="314" min="11528" max="11528"/>
    <col width="4.125" customWidth="1" style="314" min="11529" max="11529"/>
    <col width="9" customWidth="1" style="314" min="11530" max="11530"/>
    <col width="9.5" customWidth="1" style="314" min="11531" max="11531"/>
    <col width="9" customWidth="1" style="314" min="11532" max="11778"/>
    <col width="10.3125" customWidth="1" style="314" min="11779" max="11779"/>
    <col width="19.8125" customWidth="1" style="314" min="11780" max="11780"/>
    <col width="11.625" customWidth="1" style="314" min="11781" max="11781"/>
    <col width="10.4375" customWidth="1" style="314" min="11782" max="11782"/>
    <col width="8.1875" customWidth="1" style="314" min="11783" max="11783"/>
    <col width="7.875" customWidth="1" style="314" min="11784" max="11784"/>
    <col width="4.125" customWidth="1" style="314" min="11785" max="11785"/>
    <col width="9" customWidth="1" style="314" min="11786" max="11786"/>
    <col width="9.5" customWidth="1" style="314" min="11787" max="11787"/>
    <col width="9" customWidth="1" style="314" min="11788" max="12034"/>
    <col width="10.3125" customWidth="1" style="314" min="12035" max="12035"/>
    <col width="19.8125" customWidth="1" style="314" min="12036" max="12036"/>
    <col width="11.625" customWidth="1" style="314" min="12037" max="12037"/>
    <col width="10.4375" customWidth="1" style="314" min="12038" max="12038"/>
    <col width="8.1875" customWidth="1" style="314" min="12039" max="12039"/>
    <col width="7.875" customWidth="1" style="314" min="12040" max="12040"/>
    <col width="4.125" customWidth="1" style="314" min="12041" max="12041"/>
    <col width="9" customWidth="1" style="314" min="12042" max="12042"/>
    <col width="9.5" customWidth="1" style="314" min="12043" max="12043"/>
    <col width="9" customWidth="1" style="314" min="12044" max="12290"/>
    <col width="10.3125" customWidth="1" style="314" min="12291" max="12291"/>
    <col width="19.8125" customWidth="1" style="314" min="12292" max="12292"/>
    <col width="11.625" customWidth="1" style="314" min="12293" max="12293"/>
    <col width="10.4375" customWidth="1" style="314" min="12294" max="12294"/>
    <col width="8.1875" customWidth="1" style="314" min="12295" max="12295"/>
    <col width="7.875" customWidth="1" style="314" min="12296" max="12296"/>
    <col width="4.125" customWidth="1" style="314" min="12297" max="12297"/>
    <col width="9" customWidth="1" style="314" min="12298" max="12298"/>
    <col width="9.5" customWidth="1" style="314" min="12299" max="12299"/>
    <col width="9" customWidth="1" style="314" min="12300" max="12546"/>
    <col width="10.3125" customWidth="1" style="314" min="12547" max="12547"/>
    <col width="19.8125" customWidth="1" style="314" min="12548" max="12548"/>
    <col width="11.625" customWidth="1" style="314" min="12549" max="12549"/>
    <col width="10.4375" customWidth="1" style="314" min="12550" max="12550"/>
    <col width="8.1875" customWidth="1" style="314" min="12551" max="12551"/>
    <col width="7.875" customWidth="1" style="314" min="12552" max="12552"/>
    <col width="4.125" customWidth="1" style="314" min="12553" max="12553"/>
    <col width="9" customWidth="1" style="314" min="12554" max="12554"/>
    <col width="9.5" customWidth="1" style="314" min="12555" max="12555"/>
    <col width="9" customWidth="1" style="314" min="12556" max="12802"/>
    <col width="10.3125" customWidth="1" style="314" min="12803" max="12803"/>
    <col width="19.8125" customWidth="1" style="314" min="12804" max="12804"/>
    <col width="11.625" customWidth="1" style="314" min="12805" max="12805"/>
    <col width="10.4375" customWidth="1" style="314" min="12806" max="12806"/>
    <col width="8.1875" customWidth="1" style="314" min="12807" max="12807"/>
    <col width="7.875" customWidth="1" style="314" min="12808" max="12808"/>
    <col width="4.125" customWidth="1" style="314" min="12809" max="12809"/>
    <col width="9" customWidth="1" style="314" min="12810" max="12810"/>
    <col width="9.5" customWidth="1" style="314" min="12811" max="12811"/>
    <col width="9" customWidth="1" style="314" min="12812" max="13058"/>
    <col width="10.3125" customWidth="1" style="314" min="13059" max="13059"/>
    <col width="19.8125" customWidth="1" style="314" min="13060" max="13060"/>
    <col width="11.625" customWidth="1" style="314" min="13061" max="13061"/>
    <col width="10.4375" customWidth="1" style="314" min="13062" max="13062"/>
    <col width="8.1875" customWidth="1" style="314" min="13063" max="13063"/>
    <col width="7.875" customWidth="1" style="314" min="13064" max="13064"/>
    <col width="4.125" customWidth="1" style="314" min="13065" max="13065"/>
    <col width="9" customWidth="1" style="314" min="13066" max="13066"/>
    <col width="9.5" customWidth="1" style="314" min="13067" max="13067"/>
    <col width="9" customWidth="1" style="314" min="13068" max="13314"/>
    <col width="10.3125" customWidth="1" style="314" min="13315" max="13315"/>
    <col width="19.8125" customWidth="1" style="314" min="13316" max="13316"/>
    <col width="11.625" customWidth="1" style="314" min="13317" max="13317"/>
    <col width="10.4375" customWidth="1" style="314" min="13318" max="13318"/>
    <col width="8.1875" customWidth="1" style="314" min="13319" max="13319"/>
    <col width="7.875" customWidth="1" style="314" min="13320" max="13320"/>
    <col width="4.125" customWidth="1" style="314" min="13321" max="13321"/>
    <col width="9" customWidth="1" style="314" min="13322" max="13322"/>
    <col width="9.5" customWidth="1" style="314" min="13323" max="13323"/>
    <col width="9" customWidth="1" style="314" min="13324" max="13570"/>
    <col width="10.3125" customWidth="1" style="314" min="13571" max="13571"/>
    <col width="19.8125" customWidth="1" style="314" min="13572" max="13572"/>
    <col width="11.625" customWidth="1" style="314" min="13573" max="13573"/>
    <col width="10.4375" customWidth="1" style="314" min="13574" max="13574"/>
    <col width="8.1875" customWidth="1" style="314" min="13575" max="13575"/>
    <col width="7.875" customWidth="1" style="314" min="13576" max="13576"/>
    <col width="4.125" customWidth="1" style="314" min="13577" max="13577"/>
    <col width="9" customWidth="1" style="314" min="13578" max="13578"/>
    <col width="9.5" customWidth="1" style="314" min="13579" max="13579"/>
    <col width="9" customWidth="1" style="314" min="13580" max="13826"/>
    <col width="10.3125" customWidth="1" style="314" min="13827" max="13827"/>
    <col width="19.8125" customWidth="1" style="314" min="13828" max="13828"/>
    <col width="11.625" customWidth="1" style="314" min="13829" max="13829"/>
    <col width="10.4375" customWidth="1" style="314" min="13830" max="13830"/>
    <col width="8.1875" customWidth="1" style="314" min="13831" max="13831"/>
    <col width="7.875" customWidth="1" style="314" min="13832" max="13832"/>
    <col width="4.125" customWidth="1" style="314" min="13833" max="13833"/>
    <col width="9" customWidth="1" style="314" min="13834" max="13834"/>
    <col width="9.5" customWidth="1" style="314" min="13835" max="13835"/>
    <col width="9" customWidth="1" style="314" min="13836" max="14082"/>
    <col width="10.3125" customWidth="1" style="314" min="14083" max="14083"/>
    <col width="19.8125" customWidth="1" style="314" min="14084" max="14084"/>
    <col width="11.625" customWidth="1" style="314" min="14085" max="14085"/>
    <col width="10.4375" customWidth="1" style="314" min="14086" max="14086"/>
    <col width="8.1875" customWidth="1" style="314" min="14087" max="14087"/>
    <col width="7.875" customWidth="1" style="314" min="14088" max="14088"/>
    <col width="4.125" customWidth="1" style="314" min="14089" max="14089"/>
    <col width="9" customWidth="1" style="314" min="14090" max="14090"/>
    <col width="9.5" customWidth="1" style="314" min="14091" max="14091"/>
    <col width="9" customWidth="1" style="314" min="14092" max="14338"/>
    <col width="10.3125" customWidth="1" style="314" min="14339" max="14339"/>
    <col width="19.8125" customWidth="1" style="314" min="14340" max="14340"/>
    <col width="11.625" customWidth="1" style="314" min="14341" max="14341"/>
    <col width="10.4375" customWidth="1" style="314" min="14342" max="14342"/>
    <col width="8.1875" customWidth="1" style="314" min="14343" max="14343"/>
    <col width="7.875" customWidth="1" style="314" min="14344" max="14344"/>
    <col width="4.125" customWidth="1" style="314" min="14345" max="14345"/>
    <col width="9" customWidth="1" style="314" min="14346" max="14346"/>
    <col width="9.5" customWidth="1" style="314" min="14347" max="14347"/>
    <col width="9" customWidth="1" style="314" min="14348" max="14594"/>
    <col width="10.3125" customWidth="1" style="314" min="14595" max="14595"/>
    <col width="19.8125" customWidth="1" style="314" min="14596" max="14596"/>
    <col width="11.625" customWidth="1" style="314" min="14597" max="14597"/>
    <col width="10.4375" customWidth="1" style="314" min="14598" max="14598"/>
    <col width="8.1875" customWidth="1" style="314" min="14599" max="14599"/>
    <col width="7.875" customWidth="1" style="314" min="14600" max="14600"/>
    <col width="4.125" customWidth="1" style="314" min="14601" max="14601"/>
    <col width="9" customWidth="1" style="314" min="14602" max="14602"/>
    <col width="9.5" customWidth="1" style="314" min="14603" max="14603"/>
    <col width="9" customWidth="1" style="314" min="14604" max="14850"/>
    <col width="10.3125" customWidth="1" style="314" min="14851" max="14851"/>
    <col width="19.8125" customWidth="1" style="314" min="14852" max="14852"/>
    <col width="11.625" customWidth="1" style="314" min="14853" max="14853"/>
    <col width="10.4375" customWidth="1" style="314" min="14854" max="14854"/>
    <col width="8.1875" customWidth="1" style="314" min="14855" max="14855"/>
    <col width="7.875" customWidth="1" style="314" min="14856" max="14856"/>
    <col width="4.125" customWidth="1" style="314" min="14857" max="14857"/>
    <col width="9" customWidth="1" style="314" min="14858" max="14858"/>
    <col width="9.5" customWidth="1" style="314" min="14859" max="14859"/>
    <col width="9" customWidth="1" style="314" min="14860" max="15106"/>
    <col width="10.3125" customWidth="1" style="314" min="15107" max="15107"/>
    <col width="19.8125" customWidth="1" style="314" min="15108" max="15108"/>
    <col width="11.625" customWidth="1" style="314" min="15109" max="15109"/>
    <col width="10.4375" customWidth="1" style="314" min="15110" max="15110"/>
    <col width="8.1875" customWidth="1" style="314" min="15111" max="15111"/>
    <col width="7.875" customWidth="1" style="314" min="15112" max="15112"/>
    <col width="4.125" customWidth="1" style="314" min="15113" max="15113"/>
    <col width="9" customWidth="1" style="314" min="15114" max="15114"/>
    <col width="9.5" customWidth="1" style="314" min="15115" max="15115"/>
    <col width="9" customWidth="1" style="314" min="15116" max="15362"/>
    <col width="10.3125" customWidth="1" style="314" min="15363" max="15363"/>
    <col width="19.8125" customWidth="1" style="314" min="15364" max="15364"/>
    <col width="11.625" customWidth="1" style="314" min="15365" max="15365"/>
    <col width="10.4375" customWidth="1" style="314" min="15366" max="15366"/>
    <col width="8.1875" customWidth="1" style="314" min="15367" max="15367"/>
    <col width="7.875" customWidth="1" style="314" min="15368" max="15368"/>
    <col width="4.125" customWidth="1" style="314" min="15369" max="15369"/>
    <col width="9" customWidth="1" style="314" min="15370" max="15370"/>
    <col width="9.5" customWidth="1" style="314" min="15371" max="15371"/>
    <col width="9" customWidth="1" style="314" min="15372" max="15618"/>
    <col width="10.3125" customWidth="1" style="314" min="15619" max="15619"/>
    <col width="19.8125" customWidth="1" style="314" min="15620" max="15620"/>
    <col width="11.625" customWidth="1" style="314" min="15621" max="15621"/>
    <col width="10.4375" customWidth="1" style="314" min="15622" max="15622"/>
    <col width="8.1875" customWidth="1" style="314" min="15623" max="15623"/>
    <col width="7.875" customWidth="1" style="314" min="15624" max="15624"/>
    <col width="4.125" customWidth="1" style="314" min="15625" max="15625"/>
    <col width="9" customWidth="1" style="314" min="15626" max="15626"/>
    <col width="9.5" customWidth="1" style="314" min="15627" max="15627"/>
    <col width="9" customWidth="1" style="314" min="15628" max="15874"/>
    <col width="10.3125" customWidth="1" style="314" min="15875" max="15875"/>
    <col width="19.8125" customWidth="1" style="314" min="15876" max="15876"/>
    <col width="11.625" customWidth="1" style="314" min="15877" max="15877"/>
    <col width="10.4375" customWidth="1" style="314" min="15878" max="15878"/>
    <col width="8.1875" customWidth="1" style="314" min="15879" max="15879"/>
    <col width="7.875" customWidth="1" style="314" min="15880" max="15880"/>
    <col width="4.125" customWidth="1" style="314" min="15881" max="15881"/>
    <col width="9" customWidth="1" style="314" min="15882" max="15882"/>
    <col width="9.5" customWidth="1" style="314" min="15883" max="15883"/>
    <col width="9" customWidth="1" style="314" min="15884" max="16130"/>
    <col width="10.3125" customWidth="1" style="314" min="16131" max="16131"/>
    <col width="19.8125" customWidth="1" style="314" min="16132" max="16132"/>
    <col width="11.625" customWidth="1" style="314" min="16133" max="16133"/>
    <col width="10.4375" customWidth="1" style="314" min="16134" max="16134"/>
    <col width="8.1875" customWidth="1" style="314" min="16135" max="16135"/>
    <col width="7.875" customWidth="1" style="314" min="16136" max="16136"/>
    <col width="4.125" customWidth="1" style="314" min="16137" max="16137"/>
    <col width="9" customWidth="1" style="314" min="16138" max="16138"/>
    <col width="9.5" customWidth="1" style="314" min="16139" max="16139"/>
    <col width="9" customWidth="1" style="314" min="16140" max="16384"/>
  </cols>
  <sheetData>
    <row r="1" ht="40.9" customFormat="1" customHeight="1" s="308">
      <c r="A1" s="307" t="inlineStr">
        <is>
          <t>Comp. No.</t>
        </is>
      </c>
      <c r="B1" s="307" t="inlineStr">
        <is>
          <t>Date</t>
        </is>
      </c>
      <c r="C1" s="307" t="inlineStr">
        <is>
          <t>Address</t>
        </is>
      </c>
      <c r="D1" s="307" t="inlineStr">
        <is>
          <t>City</t>
        </is>
      </c>
      <c r="E1" s="307" t="inlineStr">
        <is>
          <t>County</t>
        </is>
      </c>
      <c r="F1" s="307" t="inlineStr">
        <is>
          <t>Listing Price</t>
        </is>
      </c>
      <c r="G1" s="307" t="inlineStr">
        <is>
          <t>Bldg. SF</t>
        </is>
      </c>
      <c r="H1" s="307" t="inlineStr">
        <is>
          <t>Unadjusted Price Per SF</t>
        </is>
      </c>
      <c r="I1" s="307" t="inlineStr">
        <is>
          <t>Reported NOI</t>
        </is>
      </c>
      <c r="J1" s="307" t="inlineStr">
        <is>
          <t>Listing OAR</t>
        </is>
      </c>
      <c r="K1" s="307" t="inlineStr">
        <is>
          <t>Majoor Tenant</t>
        </is>
      </c>
      <c r="L1" s="307" t="inlineStr">
        <is>
          <t>WALT</t>
        </is>
      </c>
      <c r="P1" s="308" t="n">
        <v>750</v>
      </c>
    </row>
    <row r="2">
      <c r="A2" s="309" t="n">
        <v>1</v>
      </c>
      <c r="B2" s="309" t="inlineStr">
        <is>
          <t>ACT</t>
        </is>
      </c>
      <c r="C2" s="309" t="inlineStr">
        <is>
          <t>2925 Madison Ave</t>
        </is>
      </c>
      <c r="D2" s="309" t="inlineStr">
        <is>
          <t>Indianapolis</t>
        </is>
      </c>
      <c r="E2" s="309" t="inlineStr">
        <is>
          <t>Marion</t>
        </is>
      </c>
      <c r="F2" s="874" t="n">
        <v>1290000</v>
      </c>
      <c r="G2" s="311" t="n">
        <v>9225</v>
      </c>
      <c r="H2" s="875">
        <f>F2/G2</f>
        <v/>
      </c>
      <c r="I2" s="875" t="n">
        <v>116160</v>
      </c>
      <c r="J2" s="313">
        <f>I2/F2</f>
        <v/>
      </c>
      <c r="K2" s="309" t="inlineStr">
        <is>
          <t>Family Dollar</t>
        </is>
      </c>
      <c r="L2" s="875" t="inlineStr">
        <is>
          <t>3.4 YRS</t>
        </is>
      </c>
      <c r="N2" s="739">
        <f>(G2/$G$7)-1</f>
        <v/>
      </c>
      <c r="O2" s="304">
        <f>(G2-$G$7)</f>
        <v/>
      </c>
      <c r="P2" s="315">
        <f>O2/$P$1</f>
        <v/>
      </c>
      <c r="Q2" s="306">
        <f>P2*0.05</f>
        <v/>
      </c>
      <c r="R2" s="314" t="n">
        <v>-5</v>
      </c>
    </row>
    <row r="3">
      <c r="A3" s="316" t="n">
        <v>2</v>
      </c>
      <c r="B3" s="309" t="inlineStr">
        <is>
          <t>ACT</t>
        </is>
      </c>
      <c r="C3" s="316" t="inlineStr">
        <is>
          <t>8245-8335 S US Highway 33</t>
        </is>
      </c>
      <c r="D3" s="316" t="inlineStr">
        <is>
          <t>Indianapolis</t>
        </is>
      </c>
      <c r="E3" s="316" t="inlineStr">
        <is>
          <t>Marion</t>
        </is>
      </c>
      <c r="F3" s="876" t="n">
        <v>8840002</v>
      </c>
      <c r="G3" s="318" t="n">
        <v>56994</v>
      </c>
      <c r="H3" s="877">
        <f>F3/G3</f>
        <v/>
      </c>
      <c r="I3" s="877" t="n">
        <v>707344</v>
      </c>
      <c r="J3" s="313">
        <f>I3/F3</f>
        <v/>
      </c>
      <c r="K3" s="316" t="inlineStr">
        <is>
          <t>Circle City Bargains</t>
        </is>
      </c>
      <c r="L3" s="877" t="inlineStr">
        <is>
          <t>2.84 YRS</t>
        </is>
      </c>
      <c r="N3" s="739">
        <f>(G3/$G$7)-1</f>
        <v/>
      </c>
      <c r="O3" s="304">
        <f>(G3-$G$7)</f>
        <v/>
      </c>
      <c r="P3" s="315">
        <f>O3/$P$1</f>
        <v/>
      </c>
      <c r="Q3" s="306">
        <f>P3*0.05</f>
        <v/>
      </c>
      <c r="R3" s="314" t="n">
        <v>10</v>
      </c>
    </row>
    <row r="4">
      <c r="A4" s="309" t="n">
        <v>3</v>
      </c>
      <c r="B4" s="309" t="inlineStr">
        <is>
          <t>ACT</t>
        </is>
      </c>
      <c r="C4" s="309" t="inlineStr">
        <is>
          <t>3643-3677 W 86th St</t>
        </is>
      </c>
      <c r="D4" s="309" t="inlineStr">
        <is>
          <t>Indianapolis</t>
        </is>
      </c>
      <c r="E4" s="309" t="inlineStr">
        <is>
          <t>Marion</t>
        </is>
      </c>
      <c r="F4" s="874" t="n">
        <v>4025000</v>
      </c>
      <c r="G4" s="311" t="n">
        <v>19676</v>
      </c>
      <c r="H4" s="875">
        <f>F4/G4</f>
        <v/>
      </c>
      <c r="I4" s="878" t="n">
        <v>312125</v>
      </c>
      <c r="J4" s="313">
        <f>I4/F4</f>
        <v/>
      </c>
      <c r="K4" s="309" t="inlineStr">
        <is>
          <t>Goodyear Tire</t>
        </is>
      </c>
      <c r="L4" s="875" t="inlineStr">
        <is>
          <t>3.47 YRS</t>
        </is>
      </c>
      <c r="N4" s="739">
        <f>(G4/$G$7)-1</f>
        <v/>
      </c>
      <c r="O4" s="304">
        <f>(G4-$G$7)</f>
        <v/>
      </c>
      <c r="P4" s="315">
        <f>O4/$P$1</f>
        <v/>
      </c>
      <c r="Q4" s="306">
        <f>P4*0.05</f>
        <v/>
      </c>
      <c r="R4" s="314" t="n">
        <v>-10</v>
      </c>
    </row>
    <row r="5">
      <c r="A5" s="316" t="n">
        <v>4</v>
      </c>
      <c r="B5" s="309" t="inlineStr">
        <is>
          <t>ACT</t>
        </is>
      </c>
      <c r="C5" s="309" t="inlineStr">
        <is>
          <t>1440 Madison Ave</t>
        </is>
      </c>
      <c r="D5" s="309" t="inlineStr">
        <is>
          <t>Indianapolis</t>
        </is>
      </c>
      <c r="E5" s="309" t="inlineStr">
        <is>
          <t>Marion</t>
        </is>
      </c>
      <c r="F5" s="874" t="n">
        <v>970000</v>
      </c>
      <c r="G5" s="311" t="n">
        <v>4000</v>
      </c>
      <c r="H5" s="875">
        <f>F5/G5</f>
        <v/>
      </c>
      <c r="I5" s="878" t="inlineStr">
        <is>
          <t>N/A</t>
        </is>
      </c>
      <c r="J5" s="321" t="inlineStr">
        <is>
          <t>N/A</t>
        </is>
      </c>
      <c r="K5" s="309" t="n"/>
      <c r="L5" s="875" t="n"/>
      <c r="N5" s="739">
        <f>(G5/$G$7)-1</f>
        <v/>
      </c>
      <c r="O5" s="304">
        <f>(G5-$G$7)</f>
        <v/>
      </c>
      <c r="P5" s="315">
        <f>O5/$P$1</f>
        <v/>
      </c>
      <c r="Q5" s="306">
        <f>P5*0.05</f>
        <v/>
      </c>
      <c r="R5" s="314" t="n">
        <v>-10</v>
      </c>
    </row>
    <row r="6" customFormat="1" s="322">
      <c r="A6" s="309" t="n">
        <v>5</v>
      </c>
      <c r="B6" s="309" t="inlineStr">
        <is>
          <t>ACT</t>
        </is>
      </c>
      <c r="C6" s="309" t="inlineStr">
        <is>
          <t>437 S Indiana St</t>
        </is>
      </c>
      <c r="D6" s="309" t="inlineStr">
        <is>
          <t>Mooresville</t>
        </is>
      </c>
      <c r="E6" s="309" t="inlineStr">
        <is>
          <t>Morgan</t>
        </is>
      </c>
      <c r="F6" s="874" t="n">
        <v>1222000</v>
      </c>
      <c r="G6" s="311" t="n">
        <v>5000</v>
      </c>
      <c r="H6" s="875">
        <f>F6/G6</f>
        <v/>
      </c>
      <c r="I6" s="878" t="inlineStr">
        <is>
          <t>N/A</t>
        </is>
      </c>
      <c r="J6" s="321" t="inlineStr">
        <is>
          <t>N/A</t>
        </is>
      </c>
      <c r="K6" s="309" t="n"/>
      <c r="L6" s="875" t="n"/>
      <c r="N6" s="739">
        <f>(G6/$G$7)-1</f>
        <v/>
      </c>
      <c r="O6" s="304">
        <f>(G6-$G$7)</f>
        <v/>
      </c>
      <c r="P6" s="315">
        <f>O6/$P$1</f>
        <v/>
      </c>
      <c r="Q6" s="306">
        <f>P6*0.05</f>
        <v/>
      </c>
      <c r="R6" s="322" t="n">
        <v>0</v>
      </c>
    </row>
    <row r="7" customFormat="1" s="322">
      <c r="A7" s="316" t="n">
        <v>6</v>
      </c>
      <c r="B7" s="309" t="inlineStr">
        <is>
          <t>ACT</t>
        </is>
      </c>
      <c r="C7" s="309" t="inlineStr">
        <is>
          <t>5220 E Southport Rd</t>
        </is>
      </c>
      <c r="D7" s="309" t="inlineStr">
        <is>
          <t>Indianapolis</t>
        </is>
      </c>
      <c r="E7" s="309" t="inlineStr">
        <is>
          <t>Marion</t>
        </is>
      </c>
      <c r="F7" s="874" t="n">
        <v>3530000</v>
      </c>
      <c r="G7" s="311" t="n">
        <v>13842</v>
      </c>
      <c r="H7" s="875">
        <f>F7/G7</f>
        <v/>
      </c>
      <c r="I7" s="878" t="n">
        <v>241726</v>
      </c>
      <c r="J7" s="313">
        <f>I7/F7</f>
        <v/>
      </c>
      <c r="K7" s="309" t="inlineStr">
        <is>
          <t>Whiskey Business</t>
        </is>
      </c>
      <c r="L7" s="875" t="n"/>
      <c r="N7" s="739">
        <f>(G7/$G$7)-1</f>
        <v/>
      </c>
      <c r="O7" s="304">
        <f>(G7-$G$7)</f>
        <v/>
      </c>
      <c r="P7" s="315">
        <f>O7/$P$1</f>
        <v/>
      </c>
      <c r="Q7" s="306">
        <f>P7*0.05</f>
        <v/>
      </c>
      <c r="R7" s="322" t="n">
        <v>0</v>
      </c>
    </row>
    <row r="8">
      <c r="A8" s="309" t="n">
        <v>7</v>
      </c>
      <c r="B8" s="309" t="inlineStr">
        <is>
          <t>ACT</t>
        </is>
      </c>
      <c r="C8" s="309" t="inlineStr">
        <is>
          <t>7551 US 31 S</t>
        </is>
      </c>
      <c r="D8" s="309" t="inlineStr">
        <is>
          <t>Indianapolis</t>
        </is>
      </c>
      <c r="E8" s="309" t="inlineStr">
        <is>
          <t>Marion</t>
        </is>
      </c>
      <c r="F8" s="874" t="n">
        <v>1600000</v>
      </c>
      <c r="G8" s="311" t="n">
        <v>5688</v>
      </c>
      <c r="H8" s="875">
        <f>F8/G8</f>
        <v/>
      </c>
      <c r="I8" s="878" t="inlineStr">
        <is>
          <t>N/A</t>
        </is>
      </c>
      <c r="J8" s="321" t="inlineStr">
        <is>
          <t>N/A</t>
        </is>
      </c>
      <c r="K8" s="309" t="inlineStr">
        <is>
          <t>Former Hooters</t>
        </is>
      </c>
      <c r="L8" s="875" t="inlineStr">
        <is>
          <t>Vacant</t>
        </is>
      </c>
      <c r="N8" s="739">
        <f>(G8/$G$7)-1</f>
        <v/>
      </c>
      <c r="O8" s="304">
        <f>(G8-$G$7)</f>
        <v/>
      </c>
      <c r="P8" s="315">
        <f>O8/$P$1</f>
        <v/>
      </c>
      <c r="Q8" s="306">
        <f>P8*0.05</f>
        <v/>
      </c>
      <c r="R8" s="314" t="n">
        <v>0</v>
      </c>
    </row>
    <row r="9">
      <c r="A9" s="316" t="n">
        <v>8</v>
      </c>
      <c r="B9" s="309" t="inlineStr">
        <is>
          <t>ACT</t>
        </is>
      </c>
      <c r="C9" s="309" t="inlineStr">
        <is>
          <t>954 E Main St</t>
        </is>
      </c>
      <c r="D9" s="309" t="inlineStr">
        <is>
          <t>Greenwood</t>
        </is>
      </c>
      <c r="E9" s="309" t="inlineStr">
        <is>
          <t>Johnson</t>
        </is>
      </c>
      <c r="F9" s="874" t="n">
        <v>1065000</v>
      </c>
      <c r="G9" s="311" t="n">
        <v>3074</v>
      </c>
      <c r="H9" s="875">
        <f>F9/G9</f>
        <v/>
      </c>
      <c r="I9" s="875" t="n">
        <v>63900</v>
      </c>
      <c r="J9" s="313">
        <f>I9/F9</f>
        <v/>
      </c>
      <c r="K9" s="309" t="inlineStr">
        <is>
          <t>Arby's</t>
        </is>
      </c>
      <c r="L9" s="875" t="inlineStr">
        <is>
          <t>5.8 YRS</t>
        </is>
      </c>
      <c r="N9" s="739">
        <f>(G13/$G$7)-1</f>
        <v/>
      </c>
      <c r="O9" s="304">
        <f>(G13-$G$7)</f>
        <v/>
      </c>
      <c r="P9" s="315">
        <f>O9/$P$1</f>
        <v/>
      </c>
      <c r="Q9" s="306">
        <f>P9*0.05</f>
        <v/>
      </c>
      <c r="R9" s="314" t="n">
        <v>5</v>
      </c>
    </row>
    <row r="10">
      <c r="A10" s="309" t="n">
        <v>9</v>
      </c>
      <c r="B10" s="309" t="inlineStr">
        <is>
          <t>ACT</t>
        </is>
      </c>
      <c r="C10" s="309" t="inlineStr">
        <is>
          <t>7015 Madison Ave</t>
        </is>
      </c>
      <c r="D10" s="309" t="inlineStr">
        <is>
          <t>Indianapolis</t>
        </is>
      </c>
      <c r="E10" s="309" t="inlineStr">
        <is>
          <t>Marion</t>
        </is>
      </c>
      <c r="F10" s="874" t="n">
        <v>2040000</v>
      </c>
      <c r="G10" s="311" t="n">
        <v>10515</v>
      </c>
      <c r="H10" s="875">
        <f>F10/G10</f>
        <v/>
      </c>
      <c r="I10" s="875" t="n">
        <v>163205</v>
      </c>
      <c r="J10" s="313">
        <f>I10/F10</f>
        <v/>
      </c>
      <c r="K10" s="309" t="inlineStr">
        <is>
          <t>PPG Paints</t>
        </is>
      </c>
      <c r="L10" s="875" t="inlineStr">
        <is>
          <t>5.33 YRS</t>
        </is>
      </c>
      <c r="N10" s="739">
        <f>(G14/$G$7)-1</f>
        <v/>
      </c>
      <c r="O10" s="304">
        <f>(G14-$G$7)</f>
        <v/>
      </c>
      <c r="P10" s="315">
        <f>O10/$P$1</f>
        <v/>
      </c>
      <c r="Q10" s="306">
        <f>P10*0.05</f>
        <v/>
      </c>
      <c r="R10" s="314" t="n">
        <v>5</v>
      </c>
    </row>
    <row r="11">
      <c r="A11" s="316" t="n">
        <v>10</v>
      </c>
      <c r="B11" s="309" t="inlineStr">
        <is>
          <t>ACT</t>
        </is>
      </c>
      <c r="C11" s="309" t="inlineStr">
        <is>
          <t>8925 Madison Avenue</t>
        </is>
      </c>
      <c r="D11" s="309" t="inlineStr">
        <is>
          <t>Indianapolis</t>
        </is>
      </c>
      <c r="E11" s="309" t="inlineStr">
        <is>
          <t>Marion</t>
        </is>
      </c>
      <c r="F11" s="874" t="n">
        <v>3100000</v>
      </c>
      <c r="G11" s="311" t="n">
        <v>8325</v>
      </c>
      <c r="H11" s="875">
        <f>F11/G11</f>
        <v/>
      </c>
      <c r="I11" s="878" t="inlineStr">
        <is>
          <t>N/A</t>
        </is>
      </c>
      <c r="J11" s="878" t="inlineStr">
        <is>
          <t>N/A</t>
        </is>
      </c>
      <c r="K11" s="309" t="n"/>
      <c r="L11" s="875" t="n"/>
      <c r="N11" s="739">
        <f>(G7/$G$7)-1</f>
        <v/>
      </c>
      <c r="O11" s="304">
        <f>(G7-$G$7)</f>
        <v/>
      </c>
      <c r="P11" s="315">
        <f>O11/$P$1</f>
        <v/>
      </c>
      <c r="Q11" s="306">
        <f>P11*0.05</f>
        <v/>
      </c>
      <c r="R11" s="314" t="n">
        <v>10</v>
      </c>
    </row>
    <row r="12">
      <c r="A12" s="309" t="n">
        <v>11</v>
      </c>
      <c r="B12" s="309" t="inlineStr">
        <is>
          <t>ACT</t>
        </is>
      </c>
      <c r="C12" s="309" t="inlineStr">
        <is>
          <t>7554 N Shadeland Ave</t>
        </is>
      </c>
      <c r="D12" s="309" t="inlineStr">
        <is>
          <t>Indianapolis</t>
        </is>
      </c>
      <c r="E12" s="309" t="inlineStr">
        <is>
          <t>Marion</t>
        </is>
      </c>
      <c r="F12" s="874" t="n">
        <v>1400000</v>
      </c>
      <c r="G12" s="311" t="n">
        <v>3532</v>
      </c>
      <c r="H12" s="875">
        <f>F12/G12</f>
        <v/>
      </c>
      <c r="I12" s="878" t="inlineStr">
        <is>
          <t>N/A</t>
        </is>
      </c>
      <c r="J12" s="321" t="inlineStr">
        <is>
          <t>N/A</t>
        </is>
      </c>
      <c r="K12" s="309" t="n"/>
      <c r="L12" s="875" t="n"/>
      <c r="N12" s="739">
        <f>(G8/$G$7)-1</f>
        <v/>
      </c>
      <c r="O12" s="304">
        <f>(G8-$G$7)</f>
        <v/>
      </c>
      <c r="P12" s="315">
        <f>O12/$P$1</f>
        <v/>
      </c>
      <c r="Q12" s="306">
        <f>P12*0.05</f>
        <v/>
      </c>
      <c r="R12" s="314" t="n">
        <v>10</v>
      </c>
    </row>
    <row r="13">
      <c r="A13" s="309" t="n"/>
      <c r="B13" s="323" t="inlineStr">
        <is>
          <t>ACT</t>
        </is>
      </c>
      <c r="C13" s="323" t="inlineStr">
        <is>
          <t>8241 US 31 S</t>
        </is>
      </c>
      <c r="D13" s="323" t="inlineStr">
        <is>
          <t>Indianapolis</t>
        </is>
      </c>
      <c r="E13" s="323" t="inlineStr">
        <is>
          <t>Marion</t>
        </is>
      </c>
      <c r="F13" s="879" t="n">
        <v>1443312</v>
      </c>
      <c r="G13" s="325" t="n">
        <v>3299</v>
      </c>
      <c r="H13" s="880">
        <f>F13/G13</f>
        <v/>
      </c>
      <c r="I13" s="880" t="n">
        <v>115465</v>
      </c>
      <c r="J13" s="327">
        <f>I13/F13</f>
        <v/>
      </c>
      <c r="K13" s="323" t="inlineStr">
        <is>
          <t>T-Mobile</t>
        </is>
      </c>
      <c r="L13" s="881" t="n"/>
      <c r="N13" s="739">
        <f>(G9/$G$7)-1</f>
        <v/>
      </c>
      <c r="O13" s="304">
        <f>(G9-$G$7)</f>
        <v/>
      </c>
      <c r="P13" s="315">
        <f>O13/$P$1</f>
        <v/>
      </c>
      <c r="Q13" s="306">
        <f>P13*0.05</f>
        <v/>
      </c>
      <c r="R13" s="314" t="n">
        <v>10</v>
      </c>
    </row>
    <row r="14">
      <c r="A14" s="309" t="n">
        <v>12</v>
      </c>
      <c r="B14" s="309" t="inlineStr">
        <is>
          <t>ACT</t>
        </is>
      </c>
      <c r="C14" s="316" t="inlineStr">
        <is>
          <t>2326 Southport rd</t>
        </is>
      </c>
      <c r="D14" s="316" t="inlineStr">
        <is>
          <t>Indianapolis</t>
        </is>
      </c>
      <c r="E14" s="316" t="inlineStr">
        <is>
          <t>Marion</t>
        </is>
      </c>
      <c r="F14" s="876" t="n">
        <v>2078000</v>
      </c>
      <c r="G14" s="318" t="n">
        <v>3780</v>
      </c>
      <c r="H14" s="877">
        <f>F14/G14</f>
        <v/>
      </c>
      <c r="I14" s="877" t="n">
        <v>80003</v>
      </c>
      <c r="J14" s="329">
        <f>I14/F14</f>
        <v/>
      </c>
      <c r="K14" s="309" t="inlineStr">
        <is>
          <t>McDonalds</t>
        </is>
      </c>
      <c r="L14" s="875" t="n"/>
      <c r="N14" s="739">
        <f>(G14/$G$7)-1</f>
        <v/>
      </c>
      <c r="O14" s="304">
        <f>(G14-$G$7)</f>
        <v/>
      </c>
      <c r="P14" s="315">
        <f>O14/$P$1</f>
        <v/>
      </c>
      <c r="Q14" s="306">
        <f>P14*0.05</f>
        <v/>
      </c>
      <c r="R14" s="314" t="n">
        <v>-10</v>
      </c>
    </row>
    <row r="16" ht="13.5" customFormat="1" customHeight="1" s="322">
      <c r="A16" s="323" t="n"/>
      <c r="B16" s="323" t="n"/>
      <c r="C16" s="323" t="inlineStr">
        <is>
          <t>AVERAGES</t>
        </is>
      </c>
      <c r="D16" s="323" t="n"/>
      <c r="E16" s="323" t="n"/>
      <c r="F16" s="882">
        <f>AVERAGE(F2:F12,F14)</f>
        <v/>
      </c>
      <c r="G16" s="332">
        <f>AVERAGE(G2:G12,G14)</f>
        <v/>
      </c>
      <c r="H16" s="880">
        <f>AVERAGE(H2:H12,H14)</f>
        <v/>
      </c>
      <c r="I16" s="880">
        <f>AVERAGE(I2:I4,I7,I9,I10,I14)</f>
        <v/>
      </c>
      <c r="J16" s="327">
        <f>AVERAGE(J2:J4,J7,J9,J10,J14)</f>
        <v/>
      </c>
      <c r="K16" s="880" t="n"/>
      <c r="L16" s="880">
        <f>AVERAGE(L2:L5,L8:L14)</f>
        <v/>
      </c>
    </row>
    <row r="17">
      <c r="F17" s="883" t="n"/>
    </row>
    <row r="22">
      <c r="A22" s="309" t="n">
        <v>7</v>
      </c>
      <c r="B22" s="309" t="inlineStr">
        <is>
          <t>ACT</t>
        </is>
      </c>
      <c r="C22" s="309" t="inlineStr">
        <is>
          <t>7551 U.S. 31 S</t>
        </is>
      </c>
      <c r="D22" s="309" t="inlineStr">
        <is>
          <t>Indianapolis</t>
        </is>
      </c>
      <c r="E22" s="309" t="inlineStr">
        <is>
          <t>Marion</t>
        </is>
      </c>
      <c r="F22" s="874" t="n">
        <v>1600000</v>
      </c>
      <c r="G22" s="311" t="n">
        <v>5688</v>
      </c>
      <c r="H22" s="875">
        <f>F22/G22</f>
        <v/>
      </c>
      <c r="I22" s="875">
        <f>G22/H22</f>
        <v/>
      </c>
      <c r="J22" s="875">
        <f>H22/I22</f>
        <v/>
      </c>
      <c r="K22" s="309" t="inlineStr">
        <is>
          <t>Inferior</t>
        </is>
      </c>
      <c r="L22" s="875" t="n">
        <v>293.95</v>
      </c>
      <c r="N22" s="739">
        <f>(G22/$G$7)-1</f>
        <v/>
      </c>
      <c r="O22" s="304">
        <f>(G22-$G$7)</f>
        <v/>
      </c>
      <c r="P22" s="315">
        <f>O22/$P$1</f>
        <v/>
      </c>
      <c r="Q22" s="306">
        <f>P22*0.05</f>
        <v/>
      </c>
      <c r="R22" s="314" t="n">
        <v>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Z70"/>
  <sheetViews>
    <sheetView showGridLines="0" topLeftCell="A6" workbookViewId="0">
      <selection activeCell="K26" sqref="K26"/>
    </sheetView>
  </sheetViews>
  <sheetFormatPr baseColWidth="8" defaultRowHeight="13.9"/>
  <cols>
    <col width="9" customWidth="1" style="141" min="1" max="2"/>
    <col width="8.25" customWidth="1" style="141" min="3" max="3"/>
    <col width="10.75" customWidth="1" style="141" min="4" max="4"/>
    <col width="9.75" customWidth="1" style="141" min="5" max="5"/>
    <col width="9.875" customWidth="1" style="141" min="6" max="6"/>
    <col width="9.5625" customWidth="1" style="141" min="7" max="7"/>
    <col width="9" customWidth="1" style="141" min="8" max="258"/>
    <col width="11.5" customWidth="1" style="141" min="259" max="259"/>
    <col width="9" customWidth="1" style="141" min="260" max="514"/>
    <col width="11.5" customWidth="1" style="141" min="515" max="515"/>
    <col width="9" customWidth="1" style="141" min="516" max="770"/>
    <col width="11.5" customWidth="1" style="141" min="771" max="771"/>
    <col width="9" customWidth="1" style="141" min="772" max="1026"/>
    <col width="11.5" customWidth="1" style="141" min="1027" max="1027"/>
    <col width="9" customWidth="1" style="141" min="1028" max="1282"/>
    <col width="11.5" customWidth="1" style="141" min="1283" max="1283"/>
    <col width="9" customWidth="1" style="141" min="1284" max="1538"/>
    <col width="11.5" customWidth="1" style="141" min="1539" max="1539"/>
    <col width="9" customWidth="1" style="141" min="1540" max="1794"/>
    <col width="11.5" customWidth="1" style="141" min="1795" max="1795"/>
    <col width="9" customWidth="1" style="141" min="1796" max="2050"/>
    <col width="11.5" customWidth="1" style="141" min="2051" max="2051"/>
    <col width="9" customWidth="1" style="141" min="2052" max="2306"/>
    <col width="11.5" customWidth="1" style="141" min="2307" max="2307"/>
    <col width="9" customWidth="1" style="141" min="2308" max="2562"/>
    <col width="11.5" customWidth="1" style="141" min="2563" max="2563"/>
    <col width="9" customWidth="1" style="141" min="2564" max="2818"/>
    <col width="11.5" customWidth="1" style="141" min="2819" max="2819"/>
    <col width="9" customWidth="1" style="141" min="2820" max="3074"/>
    <col width="11.5" customWidth="1" style="141" min="3075" max="3075"/>
    <col width="9" customWidth="1" style="141" min="3076" max="3330"/>
    <col width="11.5" customWidth="1" style="141" min="3331" max="3331"/>
    <col width="9" customWidth="1" style="141" min="3332" max="3586"/>
    <col width="11.5" customWidth="1" style="141" min="3587" max="3587"/>
    <col width="9" customWidth="1" style="141" min="3588" max="3842"/>
    <col width="11.5" customWidth="1" style="141" min="3843" max="3843"/>
    <col width="9" customWidth="1" style="141" min="3844" max="4098"/>
    <col width="11.5" customWidth="1" style="141" min="4099" max="4099"/>
    <col width="9" customWidth="1" style="141" min="4100" max="4354"/>
    <col width="11.5" customWidth="1" style="141" min="4355" max="4355"/>
    <col width="9" customWidth="1" style="141" min="4356" max="4610"/>
    <col width="11.5" customWidth="1" style="141" min="4611" max="4611"/>
    <col width="9" customWidth="1" style="141" min="4612" max="4866"/>
    <col width="11.5" customWidth="1" style="141" min="4867" max="4867"/>
    <col width="9" customWidth="1" style="141" min="4868" max="5122"/>
    <col width="11.5" customWidth="1" style="141" min="5123" max="5123"/>
    <col width="9" customWidth="1" style="141" min="5124" max="5378"/>
    <col width="11.5" customWidth="1" style="141" min="5379" max="5379"/>
    <col width="9" customWidth="1" style="141" min="5380" max="5634"/>
    <col width="11.5" customWidth="1" style="141" min="5635" max="5635"/>
    <col width="9" customWidth="1" style="141" min="5636" max="5890"/>
    <col width="11.5" customWidth="1" style="141" min="5891" max="5891"/>
    <col width="9" customWidth="1" style="141" min="5892" max="6146"/>
    <col width="11.5" customWidth="1" style="141" min="6147" max="6147"/>
    <col width="9" customWidth="1" style="141" min="6148" max="6402"/>
    <col width="11.5" customWidth="1" style="141" min="6403" max="6403"/>
    <col width="9" customWidth="1" style="141" min="6404" max="6658"/>
    <col width="11.5" customWidth="1" style="141" min="6659" max="6659"/>
    <col width="9" customWidth="1" style="141" min="6660" max="6914"/>
    <col width="11.5" customWidth="1" style="141" min="6915" max="6915"/>
    <col width="9" customWidth="1" style="141" min="6916" max="7170"/>
    <col width="11.5" customWidth="1" style="141" min="7171" max="7171"/>
    <col width="9" customWidth="1" style="141" min="7172" max="7426"/>
    <col width="11.5" customWidth="1" style="141" min="7427" max="7427"/>
    <col width="9" customWidth="1" style="141" min="7428" max="7682"/>
    <col width="11.5" customWidth="1" style="141" min="7683" max="7683"/>
    <col width="9" customWidth="1" style="141" min="7684" max="7938"/>
    <col width="11.5" customWidth="1" style="141" min="7939" max="7939"/>
    <col width="9" customWidth="1" style="141" min="7940" max="8194"/>
    <col width="11.5" customWidth="1" style="141" min="8195" max="8195"/>
    <col width="9" customWidth="1" style="141" min="8196" max="8450"/>
    <col width="11.5" customWidth="1" style="141" min="8451" max="8451"/>
    <col width="9" customWidth="1" style="141" min="8452" max="8706"/>
    <col width="11.5" customWidth="1" style="141" min="8707" max="8707"/>
    <col width="9" customWidth="1" style="141" min="8708" max="8962"/>
    <col width="11.5" customWidth="1" style="141" min="8963" max="8963"/>
    <col width="9" customWidth="1" style="141" min="8964" max="9218"/>
    <col width="11.5" customWidth="1" style="141" min="9219" max="9219"/>
    <col width="9" customWidth="1" style="141" min="9220" max="9474"/>
    <col width="11.5" customWidth="1" style="141" min="9475" max="9475"/>
    <col width="9" customWidth="1" style="141" min="9476" max="9730"/>
    <col width="11.5" customWidth="1" style="141" min="9731" max="9731"/>
    <col width="9" customWidth="1" style="141" min="9732" max="9986"/>
    <col width="11.5" customWidth="1" style="141" min="9987" max="9987"/>
    <col width="9" customWidth="1" style="141" min="9988" max="10242"/>
    <col width="11.5" customWidth="1" style="141" min="10243" max="10243"/>
    <col width="9" customWidth="1" style="141" min="10244" max="10498"/>
    <col width="11.5" customWidth="1" style="141" min="10499" max="10499"/>
    <col width="9" customWidth="1" style="141" min="10500" max="10754"/>
    <col width="11.5" customWidth="1" style="141" min="10755" max="10755"/>
    <col width="9" customWidth="1" style="141" min="10756" max="11010"/>
    <col width="11.5" customWidth="1" style="141" min="11011" max="11011"/>
    <col width="9" customWidth="1" style="141" min="11012" max="11266"/>
    <col width="11.5" customWidth="1" style="141" min="11267" max="11267"/>
    <col width="9" customWidth="1" style="141" min="11268" max="11522"/>
    <col width="11.5" customWidth="1" style="141" min="11523" max="11523"/>
    <col width="9" customWidth="1" style="141" min="11524" max="11778"/>
    <col width="11.5" customWidth="1" style="141" min="11779" max="11779"/>
    <col width="9" customWidth="1" style="141" min="11780" max="12034"/>
    <col width="11.5" customWidth="1" style="141" min="12035" max="12035"/>
    <col width="9" customWidth="1" style="141" min="12036" max="12290"/>
    <col width="11.5" customWidth="1" style="141" min="12291" max="12291"/>
    <col width="9" customWidth="1" style="141" min="12292" max="12546"/>
    <col width="11.5" customWidth="1" style="141" min="12547" max="12547"/>
    <col width="9" customWidth="1" style="141" min="12548" max="12802"/>
    <col width="11.5" customWidth="1" style="141" min="12803" max="12803"/>
    <col width="9" customWidth="1" style="141" min="12804" max="13058"/>
    <col width="11.5" customWidth="1" style="141" min="13059" max="13059"/>
    <col width="9" customWidth="1" style="141" min="13060" max="13314"/>
    <col width="11.5" customWidth="1" style="141" min="13315" max="13315"/>
    <col width="9" customWidth="1" style="141" min="13316" max="13570"/>
    <col width="11.5" customWidth="1" style="141" min="13571" max="13571"/>
    <col width="9" customWidth="1" style="141" min="13572" max="13826"/>
    <col width="11.5" customWidth="1" style="141" min="13827" max="13827"/>
    <col width="9" customWidth="1" style="141" min="13828" max="14082"/>
    <col width="11.5" customWidth="1" style="141" min="14083" max="14083"/>
    <col width="9" customWidth="1" style="141" min="14084" max="14338"/>
    <col width="11.5" customWidth="1" style="141" min="14339" max="14339"/>
    <col width="9" customWidth="1" style="141" min="14340" max="14594"/>
    <col width="11.5" customWidth="1" style="141" min="14595" max="14595"/>
    <col width="9" customWidth="1" style="141" min="14596" max="14850"/>
    <col width="11.5" customWidth="1" style="141" min="14851" max="14851"/>
    <col width="9" customWidth="1" style="141" min="14852" max="15106"/>
    <col width="11.5" customWidth="1" style="141" min="15107" max="15107"/>
    <col width="9" customWidth="1" style="141" min="15108" max="15362"/>
    <col width="11.5" customWidth="1" style="141" min="15363" max="15363"/>
    <col width="9" customWidth="1" style="141" min="15364" max="15618"/>
    <col width="11.5" customWidth="1" style="141" min="15619" max="15619"/>
    <col width="9" customWidth="1" style="141" min="15620" max="15874"/>
    <col width="11.5" customWidth="1" style="141" min="15875" max="15875"/>
    <col width="9" customWidth="1" style="141" min="15876" max="16130"/>
    <col width="11.5" customWidth="1" style="141" min="16131" max="16131"/>
    <col width="9" customWidth="1" style="141" min="16132" max="16384"/>
  </cols>
  <sheetData>
    <row r="1" ht="15" customHeight="1" s="669">
      <c r="A1" s="139" t="inlineStr">
        <is>
          <t>Mortgage Equity Technique</t>
        </is>
      </c>
      <c r="B1" s="140" t="n"/>
      <c r="C1" s="140" t="n"/>
      <c r="D1" s="140" t="n"/>
      <c r="E1" s="140" t="n"/>
      <c r="F1" s="140" t="n"/>
      <c r="G1" s="140" t="n"/>
    </row>
    <row r="2" ht="6" customHeight="1" s="669"/>
    <row r="3">
      <c r="A3" s="141" t="inlineStr">
        <is>
          <t>Mortgage Ratio:</t>
        </is>
      </c>
      <c r="F3" s="142" t="n">
        <v>0.65</v>
      </c>
      <c r="I3" s="377" t="inlineStr">
        <is>
          <t>Actual</t>
        </is>
      </c>
      <c r="J3" s="377" t="inlineStr">
        <is>
          <t>Spread</t>
        </is>
      </c>
    </row>
    <row r="4">
      <c r="A4" s="141" t="inlineStr">
        <is>
          <t>Mortgage Interest Rate:</t>
        </is>
      </c>
      <c r="F4" s="203" t="n">
        <v>0.059</v>
      </c>
      <c r="I4" s="843">
        <f>Q48+0.0225</f>
        <v/>
      </c>
      <c r="J4" s="843">
        <f>F4-Q48</f>
        <v/>
      </c>
    </row>
    <row r="5">
      <c r="A5" s="141" t="inlineStr">
        <is>
          <t>Amortization Period:</t>
        </is>
      </c>
      <c r="F5" s="141" t="n">
        <v>25</v>
      </c>
      <c r="G5" s="141" t="inlineStr">
        <is>
          <t>years</t>
        </is>
      </c>
    </row>
    <row r="6">
      <c r="A6" s="141" t="inlineStr">
        <is>
          <t>Investment Holding Period:</t>
        </is>
      </c>
      <c r="F6" s="141" t="n">
        <v>10</v>
      </c>
      <c r="G6" s="141" t="inlineStr">
        <is>
          <t>years</t>
        </is>
      </c>
    </row>
    <row r="7">
      <c r="A7" s="143" t="inlineStr">
        <is>
          <t>Equity Yield Rate:</t>
        </is>
      </c>
      <c r="F7" s="142" t="n">
        <v>0.08</v>
      </c>
    </row>
    <row r="8">
      <c r="A8" s="141" t="inlineStr">
        <is>
          <t>Change in Value:</t>
        </is>
      </c>
      <c r="F8" s="142" t="n">
        <v>0.12</v>
      </c>
    </row>
    <row r="9">
      <c r="A9" s="144" t="inlineStr">
        <is>
          <t>Calculate basic rate "r"</t>
        </is>
      </c>
      <c r="B9" s="144" t="n"/>
      <c r="C9" s="144" t="n"/>
      <c r="D9" s="144" t="n"/>
      <c r="E9" s="144" t="n"/>
      <c r="F9" s="144" t="n"/>
      <c r="G9" s="144" t="n"/>
    </row>
    <row r="10">
      <c r="A10" s="141" t="inlineStr">
        <is>
          <t>Mortgage ratio</t>
        </is>
      </c>
      <c r="C10" s="141" t="inlineStr">
        <is>
          <t>Mtg. constant</t>
        </is>
      </c>
    </row>
    <row r="11">
      <c r="A11" s="142">
        <f>+F3</f>
        <v/>
      </c>
      <c r="B11" s="141" t="inlineStr">
        <is>
          <t>x</t>
        </is>
      </c>
      <c r="C11" s="851">
        <f>PMT(+F4/12,+F5*12,-1,0)*12</f>
        <v/>
      </c>
      <c r="F11" s="141" t="inlineStr">
        <is>
          <t>=</t>
        </is>
      </c>
      <c r="G11" s="851">
        <f>ROUND(A11*C11,6)</f>
        <v/>
      </c>
    </row>
    <row r="12" ht="6" customHeight="1" s="669">
      <c r="G12" s="851" t="n"/>
    </row>
    <row r="13">
      <c r="A13" s="141" t="inlineStr">
        <is>
          <t>Equity ratio</t>
        </is>
      </c>
      <c r="C13" s="141" t="inlineStr">
        <is>
          <t>Equity yield rate</t>
        </is>
      </c>
      <c r="G13" s="851" t="n"/>
    </row>
    <row r="14">
      <c r="A14" s="142">
        <f>1-F3</f>
        <v/>
      </c>
      <c r="B14" s="141" t="inlineStr">
        <is>
          <t>x</t>
        </is>
      </c>
      <c r="C14" s="851">
        <f>+F7</f>
        <v/>
      </c>
      <c r="F14" s="141" t="inlineStr">
        <is>
          <t>=</t>
        </is>
      </c>
      <c r="G14" s="852">
        <f>ROUND(A14*C14,6)</f>
        <v/>
      </c>
    </row>
    <row r="15">
      <c r="C15" s="141" t="inlineStr">
        <is>
          <t>Basic rate "r"</t>
        </is>
      </c>
      <c r="F15" s="141" t="inlineStr">
        <is>
          <t>=</t>
        </is>
      </c>
      <c r="G15" s="851">
        <f>ROUND(G11+G14,6)</f>
        <v/>
      </c>
    </row>
    <row r="16" ht="6" customHeight="1" s="669">
      <c r="G16" s="851" t="n"/>
    </row>
    <row r="17">
      <c r="A17" s="141" t="inlineStr">
        <is>
          <t>Adjust (subtract) for equity build-up</t>
        </is>
      </c>
      <c r="G17" s="851" t="n"/>
    </row>
    <row r="18" ht="6" customHeight="1" s="669">
      <c r="G18" s="851" t="n"/>
    </row>
    <row r="19">
      <c r="A19" s="141" t="inlineStr">
        <is>
          <t>Mtg. ratio</t>
        </is>
      </c>
      <c r="C19" s="141" t="inlineStr">
        <is>
          <t>Part pd. off</t>
        </is>
      </c>
      <c r="E19" s="141" t="inlineStr">
        <is>
          <t>Sinking FF</t>
        </is>
      </c>
      <c r="G19" s="851" t="n"/>
    </row>
    <row r="20">
      <c r="A20" s="142">
        <f>-F3</f>
        <v/>
      </c>
      <c r="B20" s="141" t="inlineStr">
        <is>
          <t>x</t>
        </is>
      </c>
      <c r="C20" s="843">
        <f>(PMT(F4/12,+F5*12,0,-1))/(PMT(F4/12,+F6*12,0,-1))</f>
        <v/>
      </c>
      <c r="D20" s="141" t="inlineStr">
        <is>
          <t>x</t>
        </is>
      </c>
      <c r="E20" s="851">
        <f>PMT(+F7/12,+F6*12,0,-1)*12</f>
        <v/>
      </c>
      <c r="F20" s="141" t="inlineStr">
        <is>
          <t>=</t>
        </is>
      </c>
      <c r="G20" s="851">
        <f>ROUND(A20*C20*E20,6)</f>
        <v/>
      </c>
    </row>
    <row r="21" ht="6" customHeight="1" s="669">
      <c r="C21" s="141" t="inlineStr">
        <is>
          <t xml:space="preserve"> </t>
        </is>
      </c>
      <c r="G21" s="851" t="n"/>
    </row>
    <row r="22">
      <c r="A22" s="141" t="inlineStr">
        <is>
          <t>Adjust for change in value over holding period</t>
        </is>
      </c>
      <c r="G22" s="851" t="n"/>
    </row>
    <row r="23" ht="6" customHeight="1" s="669">
      <c r="G23" s="851" t="n"/>
    </row>
    <row r="24">
      <c r="A24" s="141" t="inlineStr">
        <is>
          <t>Value change</t>
        </is>
      </c>
      <c r="C24" s="148" t="inlineStr">
        <is>
          <t>Sinking FF</t>
        </is>
      </c>
      <c r="G24" s="851" t="n"/>
    </row>
    <row r="25">
      <c r="A25" s="142">
        <f>F8</f>
        <v/>
      </c>
      <c r="B25" s="141" t="inlineStr">
        <is>
          <t>x</t>
        </is>
      </c>
      <c r="C25" s="839">
        <f>E20</f>
        <v/>
      </c>
      <c r="F25" s="141" t="inlineStr">
        <is>
          <t>=</t>
        </is>
      </c>
      <c r="G25" s="852">
        <f>ROUND(-A25*C25,6)</f>
        <v/>
      </c>
    </row>
    <row r="26">
      <c r="D26" s="150" t="inlineStr">
        <is>
          <t>Indicated Overall Rate:</t>
        </is>
      </c>
      <c r="E26" s="150" t="n"/>
      <c r="F26" s="150" t="n"/>
      <c r="G26" s="884">
        <f>ROUND(G15+G20+G25,6)</f>
        <v/>
      </c>
    </row>
    <row r="27">
      <c r="D27" s="150" t="n"/>
      <c r="E27" s="150" t="n"/>
      <c r="F27" s="150" t="inlineStr">
        <is>
          <t>Rounded:</t>
        </is>
      </c>
      <c r="G27" s="152">
        <f>ROUND(G26,3)</f>
        <v/>
      </c>
    </row>
    <row r="28" ht="19.5" customHeight="1" s="669">
      <c r="P28" s="885" t="inlineStr">
        <is>
          <t>1-month Term SOFR swap rates</t>
        </is>
      </c>
      <c r="Q28" s="806" t="n"/>
      <c r="R28" s="806" t="n"/>
      <c r="S28" s="807" t="n"/>
      <c r="T28" s="337" t="n"/>
      <c r="U28" s="337" t="n"/>
      <c r="V28" s="885" t="inlineStr">
        <is>
          <t>U.S. Treasuries</t>
        </is>
      </c>
      <c r="W28" s="806" t="n"/>
      <c r="X28" s="806" t="n"/>
      <c r="Y28" s="807" t="n"/>
      <c r="Z28" s="337" t="n"/>
    </row>
    <row r="29" ht="19.5" customHeight="1" s="669">
      <c r="P29" s="886" t="n"/>
      <c r="Q29" s="339" t="n">
        <v>46065</v>
      </c>
      <c r="R29" s="339" t="n">
        <v>46035</v>
      </c>
      <c r="S29" s="339" t="n">
        <v>45701</v>
      </c>
      <c r="T29" s="337" t="n"/>
      <c r="U29" s="337" t="n"/>
      <c r="V29" s="886" t="n"/>
      <c r="W29" s="339" t="n">
        <v>46065</v>
      </c>
      <c r="X29" s="339" t="n">
        <v>46035</v>
      </c>
      <c r="Y29" s="339" t="n">
        <v>45701</v>
      </c>
      <c r="Z29" s="337" t="n"/>
    </row>
    <row r="30" ht="14.25" customHeight="1" s="669">
      <c r="P30" s="887" t="inlineStr">
        <is>
          <t>1 Year</t>
        </is>
      </c>
      <c r="Q30" s="888" t="n">
        <v>0.03384</v>
      </c>
      <c r="R30" s="888" t="n">
        <v>0.03437</v>
      </c>
      <c r="S30" s="888" t="n">
        <v>0.0419</v>
      </c>
      <c r="T30" s="337" t="n"/>
      <c r="U30" s="337" t="n"/>
      <c r="V30" s="887" t="inlineStr">
        <is>
          <t>1 Year</t>
        </is>
      </c>
      <c r="W30" s="888" t="n">
        <v>0.03448</v>
      </c>
      <c r="X30" s="888" t="n">
        <v>0.03504</v>
      </c>
      <c r="Y30" s="888" t="n">
        <v>0.04254</v>
      </c>
      <c r="Z30" s="337" t="n"/>
    </row>
    <row r="31" ht="14.25" customHeight="1" s="669">
      <c r="P31" s="889" t="inlineStr">
        <is>
          <t>2 Year</t>
        </is>
      </c>
      <c r="Q31" s="890" t="n">
        <v>0.03238</v>
      </c>
      <c r="R31" s="890" t="n">
        <v>0.03314</v>
      </c>
      <c r="S31" s="890" t="n">
        <v>0.04091</v>
      </c>
      <c r="T31" s="337" t="n"/>
      <c r="U31" s="337" t="n"/>
      <c r="V31" s="889" t="inlineStr">
        <is>
          <t>2 Year</t>
        </is>
      </c>
      <c r="W31" s="890" t="n">
        <v>0.03463</v>
      </c>
      <c r="X31" s="890" t="n">
        <v>0.03525</v>
      </c>
      <c r="Y31" s="890" t="n">
        <v>0.04311</v>
      </c>
      <c r="Z31" s="337" t="n"/>
    </row>
    <row r="32" ht="14.25" customHeight="1" s="669">
      <c r="A32" s="891" t="inlineStr">
        <is>
          <t>Item</t>
        </is>
      </c>
      <c r="B32" s="806" t="n"/>
      <c r="C32" s="807" t="n"/>
      <c r="D32" s="891" t="inlineStr">
        <is>
          <t>Value</t>
        </is>
      </c>
      <c r="E32" s="891" t="inlineStr">
        <is>
          <t>Notes</t>
        </is>
      </c>
      <c r="F32" s="806" t="n"/>
      <c r="G32" s="807" t="n"/>
      <c r="H32" s="892" t="n"/>
      <c r="I32" s="892" t="n"/>
      <c r="J32" s="892" t="n"/>
      <c r="K32" s="892" t="n"/>
      <c r="L32" s="892" t="n"/>
      <c r="P32" s="887" t="inlineStr">
        <is>
          <t>3 Year</t>
        </is>
      </c>
      <c r="Q32" s="888" t="n">
        <v>0.03237</v>
      </c>
      <c r="R32" s="888" t="n">
        <v>0.03328</v>
      </c>
      <c r="S32" s="888" t="n">
        <v>0.04057</v>
      </c>
      <c r="T32" s="337" t="n"/>
      <c r="U32" s="337" t="n"/>
      <c r="V32" s="887" t="inlineStr">
        <is>
          <t>3 Year</t>
        </is>
      </c>
      <c r="W32" s="888" t="n">
        <v>0.03506</v>
      </c>
      <c r="X32" s="888" t="n">
        <v>0.03582</v>
      </c>
      <c r="Y32" s="888" t="n">
        <v>0.04329</v>
      </c>
      <c r="Z32" s="337" t="n"/>
    </row>
    <row r="33" ht="14.25" customHeight="1" s="669">
      <c r="A33" s="893" t="inlineStr">
        <is>
          <t xml:space="preserve"> Net Operating Income (NOI)</t>
        </is>
      </c>
      <c r="B33" s="894" t="n"/>
      <c r="C33" s="894" t="n"/>
      <c r="D33" s="895">
        <f>'Income Approach (3)'!F24</f>
        <v/>
      </c>
      <c r="E33" s="896" t="inlineStr">
        <is>
          <t xml:space="preserve"> Annual income before debt payments</t>
        </is>
      </c>
      <c r="F33" s="894" t="n"/>
      <c r="G33" s="897" t="n"/>
      <c r="H33" s="892" t="n"/>
      <c r="I33" s="892" t="n"/>
      <c r="J33" s="892" t="n"/>
      <c r="K33" s="892" t="n"/>
      <c r="L33" s="892" t="n"/>
      <c r="P33" s="889" t="inlineStr">
        <is>
          <t>5 Year</t>
        </is>
      </c>
      <c r="Q33" s="890" t="n">
        <v>0.03331</v>
      </c>
      <c r="R33" s="890" t="n">
        <v>0.03435</v>
      </c>
      <c r="S33" s="890" t="n">
        <v>0.04041</v>
      </c>
      <c r="T33" s="337" t="n"/>
      <c r="U33" s="337" t="n"/>
      <c r="V33" s="889" t="inlineStr">
        <is>
          <t>5 Year</t>
        </is>
      </c>
      <c r="W33" s="890" t="n">
        <v>0.03664</v>
      </c>
      <c r="X33" s="890" t="n">
        <v>0.03742</v>
      </c>
      <c r="Y33" s="890" t="n">
        <v>0.04392</v>
      </c>
      <c r="Z33" s="337" t="n"/>
    </row>
    <row r="34" ht="14.25" customHeight="1" s="669">
      <c r="A34" s="898" t="inlineStr">
        <is>
          <t xml:space="preserve"> Total Debt Service</t>
        </is>
      </c>
      <c r="D34" s="899">
        <f>('Income Approach (3)'!F40*'Mtg Eqty'!F3)*'Mtg Eqty'!C11</f>
        <v/>
      </c>
      <c r="E34" s="900" t="inlineStr">
        <is>
          <t xml:space="preserve"> Annual principal + interest</t>
        </is>
      </c>
      <c r="G34" s="696" t="n"/>
      <c r="H34" s="892" t="n"/>
      <c r="I34" s="892" t="n"/>
      <c r="J34" s="892" t="n"/>
      <c r="K34" s="892" t="n"/>
      <c r="L34" s="892" t="n"/>
      <c r="P34" s="887" t="inlineStr">
        <is>
          <t>7 Year</t>
        </is>
      </c>
      <c r="Q34" s="888" t="n">
        <v>0.03457</v>
      </c>
      <c r="R34" s="888" t="n">
        <v>0.03569</v>
      </c>
      <c r="S34" s="888" t="n">
        <v>0.04052</v>
      </c>
      <c r="T34" s="337" t="n"/>
      <c r="U34" s="337" t="n"/>
      <c r="V34" s="887" t="inlineStr">
        <is>
          <t>7 Year</t>
        </is>
      </c>
      <c r="W34" s="888" t="n">
        <v>0.03869</v>
      </c>
      <c r="X34" s="888" t="n">
        <v>0.03948</v>
      </c>
      <c r="Y34" s="888" t="n">
        <v>0.04462</v>
      </c>
      <c r="Z34" s="337" t="n"/>
    </row>
    <row r="35" ht="14.25" customHeight="1" s="669">
      <c r="A35" s="898" t="inlineStr">
        <is>
          <t xml:space="preserve"> Capital Expenditures (CapEx)</t>
        </is>
      </c>
      <c r="D35" s="899">
        <f>#REF!</f>
        <v/>
      </c>
      <c r="E35" s="900" t="inlineStr">
        <is>
          <t xml:space="preserve"> Optional – for adjusted DSCR</t>
        </is>
      </c>
      <c r="G35" s="696" t="n"/>
      <c r="H35" s="892" t="n"/>
      <c r="I35" s="892" t="n"/>
      <c r="J35" s="892" t="n"/>
      <c r="K35" s="892" t="n"/>
      <c r="L35" s="892" t="n"/>
      <c r="P35" s="889" t="inlineStr">
        <is>
          <t>10 Year</t>
        </is>
      </c>
      <c r="Q35" s="890" t="n">
        <v>0.03626</v>
      </c>
      <c r="R35" s="890" t="n">
        <v>0.03752</v>
      </c>
      <c r="S35" s="890" t="n">
        <v>0.04075</v>
      </c>
      <c r="T35" s="337" t="n"/>
      <c r="U35" s="337" t="n"/>
      <c r="V35" s="889" t="inlineStr">
        <is>
          <t>10 Year</t>
        </is>
      </c>
      <c r="W35" s="890" t="n">
        <v>0.04103</v>
      </c>
      <c r="X35" s="890" t="n">
        <v>0.04172</v>
      </c>
      <c r="Y35" s="890" t="n">
        <v>0.04532</v>
      </c>
      <c r="Z35" s="337" t="n"/>
    </row>
    <row r="36" ht="14.25" customHeight="1" s="669">
      <c r="A36" s="898" t="inlineStr">
        <is>
          <t xml:space="preserve"> DSCR (Basic)</t>
        </is>
      </c>
      <c r="D36" s="901">
        <f>ROUND(D33/D34,2)</f>
        <v/>
      </c>
      <c r="E36" s="900" t="inlineStr">
        <is>
          <t xml:space="preserve"> NOI ÷ Debt Service</t>
        </is>
      </c>
      <c r="G36" s="696" t="n"/>
      <c r="H36" s="892" t="n"/>
      <c r="I36" s="892" t="n"/>
      <c r="J36" s="892" t="n"/>
      <c r="K36" s="892" t="n"/>
      <c r="L36" s="892" t="n"/>
      <c r="P36" s="887" t="inlineStr">
        <is>
          <t>15 Year</t>
        </is>
      </c>
      <c r="Q36" s="888" t="n">
        <v>0.03847</v>
      </c>
      <c r="R36" s="888" t="n">
        <v>0.03986</v>
      </c>
      <c r="S36" s="888" t="n">
        <v>0.04124</v>
      </c>
      <c r="T36" s="337" t="n"/>
      <c r="U36" s="337" t="n"/>
      <c r="V36" s="887" t="inlineStr">
        <is>
          <t>30 Year</t>
        </is>
      </c>
      <c r="W36" s="888" t="n">
        <v>0.04728</v>
      </c>
      <c r="X36" s="888" t="n">
        <v>0.04832</v>
      </c>
      <c r="Y36" s="888" t="n">
        <v>0.04737</v>
      </c>
      <c r="Z36" s="337" t="n"/>
    </row>
    <row r="37" ht="14.25" customHeight="1" s="669">
      <c r="A37" s="898" t="inlineStr">
        <is>
          <t xml:space="preserve"> DSCR (After CapEx)</t>
        </is>
      </c>
      <c r="D37" s="901">
        <f>ROUND((D33-D35)/D34,2)</f>
        <v/>
      </c>
      <c r="E37" s="900" t="inlineStr">
        <is>
          <t xml:space="preserve"> (NOI – CapEx) ÷ Debt Service</t>
        </is>
      </c>
      <c r="G37" s="696" t="n"/>
      <c r="H37" s="892" t="n"/>
      <c r="I37" s="892" t="n"/>
      <c r="J37" s="892" t="n"/>
      <c r="K37" s="892" t="n"/>
      <c r="L37" s="892" t="n"/>
      <c r="P37" s="902" t="inlineStr">
        <is>
          <t>30 Year</t>
        </is>
      </c>
      <c r="Q37" s="903" t="n">
        <v>0.03957</v>
      </c>
      <c r="R37" s="903" t="n">
        <v>0.04096</v>
      </c>
      <c r="S37" s="903" t="n">
        <v>0.0397</v>
      </c>
      <c r="T37" s="337" t="n"/>
      <c r="U37" s="337" t="n"/>
      <c r="V37" s="889" t="n"/>
      <c r="W37" s="890" t="n"/>
      <c r="X37" s="890" t="n"/>
      <c r="Y37" s="890" t="n"/>
      <c r="Z37" s="337" t="n"/>
    </row>
    <row r="38" ht="14.25" customHeight="1" s="669">
      <c r="A38" s="904" t="inlineStr">
        <is>
          <t xml:space="preserve"> Target DSCR</t>
        </is>
      </c>
      <c r="B38" s="905" t="n"/>
      <c r="C38" s="905" t="n"/>
      <c r="D38" s="906" t="n">
        <v>1.25</v>
      </c>
      <c r="E38" s="907" t="inlineStr">
        <is>
          <t xml:space="preserve"> Minimum acceptable DSCR</t>
        </is>
      </c>
      <c r="F38" s="905" t="n"/>
      <c r="G38" s="908" t="n"/>
      <c r="H38" s="892" t="n"/>
      <c r="I38" s="892" t="n"/>
      <c r="J38" s="892" t="n"/>
      <c r="K38" s="892" t="n"/>
      <c r="L38" s="892" t="n"/>
      <c r="P38" s="909" t="inlineStr">
        <is>
          <t>Updated 13 Feb 2026 | 18:45 ET</t>
        </is>
      </c>
      <c r="Q38" s="894" t="n"/>
      <c r="R38" s="894" t="n"/>
      <c r="S38" s="894" t="n"/>
      <c r="T38" s="337" t="n"/>
      <c r="U38" s="337" t="n"/>
      <c r="V38" s="909" t="inlineStr">
        <is>
          <t>Updated 13 Feb 2026 | 18:45 ET</t>
        </is>
      </c>
      <c r="W38" s="894" t="n"/>
      <c r="X38" s="894" t="n"/>
      <c r="Y38" s="894" t="n"/>
      <c r="Z38" s="337" t="n"/>
    </row>
    <row r="39" ht="14.25" customHeight="1" s="669">
      <c r="A39" s="831" t="n"/>
      <c r="B39" s="831" t="n"/>
      <c r="C39" s="831" t="n"/>
      <c r="D39" s="831" t="n"/>
      <c r="E39" s="831" t="n"/>
      <c r="F39" s="892" t="n"/>
      <c r="G39" s="892" t="n"/>
      <c r="H39" s="892" t="n"/>
      <c r="I39" s="892" t="n"/>
      <c r="J39" s="892" t="n"/>
      <c r="K39" s="892" t="n"/>
      <c r="L39" s="892" t="n"/>
      <c r="P39" s="337" t="n"/>
      <c r="Q39" s="337" t="n"/>
      <c r="R39" s="337" t="n"/>
      <c r="S39" s="337" t="n"/>
      <c r="T39" s="337" t="n"/>
      <c r="Z39" s="337" t="n"/>
    </row>
    <row r="40">
      <c r="A40" s="831" t="n"/>
      <c r="B40" s="831" t="n"/>
      <c r="C40" s="831" t="n"/>
      <c r="D40" s="831" t="n"/>
      <c r="E40" s="831" t="n"/>
      <c r="F40" s="892" t="n"/>
      <c r="G40" s="892" t="n"/>
      <c r="H40" s="892" t="n"/>
      <c r="I40" s="892" t="n"/>
      <c r="J40" s="892" t="n"/>
      <c r="K40" s="892" t="n"/>
      <c r="L40" s="892" t="n"/>
    </row>
    <row r="41" ht="19.5" customHeight="1" s="669">
      <c r="A41" s="831" t="inlineStr">
        <is>
          <t>Segment</t>
        </is>
      </c>
      <c r="C41" s="831" t="inlineStr">
        <is>
          <t>Value</t>
        </is>
      </c>
      <c r="D41" s="831" t="n"/>
      <c r="E41" s="831" t="n"/>
      <c r="F41" s="892" t="n"/>
      <c r="G41" s="892" t="n"/>
      <c r="H41" s="892" t="n"/>
      <c r="I41" s="892" t="n"/>
      <c r="J41" s="892" t="n"/>
      <c r="K41" s="892" t="n"/>
      <c r="L41" s="892" t="n"/>
      <c r="P41" s="885" t="inlineStr">
        <is>
          <t>1-month Term SOFR swap rates</t>
        </is>
      </c>
      <c r="Q41" s="806" t="n"/>
      <c r="R41" s="806" t="n"/>
      <c r="S41" s="807" t="n"/>
      <c r="T41" s="337" t="n"/>
      <c r="U41" s="337" t="n"/>
      <c r="V41" s="885" t="inlineStr">
        <is>
          <t>U.S. Treasuries</t>
        </is>
      </c>
      <c r="W41" s="806" t="n"/>
      <c r="X41" s="806" t="n"/>
      <c r="Y41" s="807" t="n"/>
    </row>
    <row r="42" ht="14.25" customHeight="1" s="669">
      <c r="A42" s="831" t="inlineStr">
        <is>
          <t>Below Target</t>
        </is>
      </c>
      <c r="C42" s="910">
        <f>MIN(D36,D38)</f>
        <v/>
      </c>
      <c r="D42" s="831" t="n"/>
      <c r="E42" s="831" t="n"/>
      <c r="F42" s="892" t="n"/>
      <c r="G42" s="892" t="n"/>
      <c r="H42" s="892" t="n"/>
      <c r="I42" s="892" t="n"/>
      <c r="J42" s="892" t="n"/>
      <c r="K42" s="892" t="n"/>
      <c r="L42" s="892" t="n"/>
      <c r="P42" s="886" t="n"/>
      <c r="Q42" s="339" t="n">
        <v>46071</v>
      </c>
      <c r="R42" s="339" t="n">
        <v>46038</v>
      </c>
      <c r="S42" s="339" t="n">
        <v>45707</v>
      </c>
      <c r="T42" s="337" t="n"/>
      <c r="U42" s="337" t="n"/>
      <c r="V42" s="886" t="n"/>
      <c r="W42" s="339" t="n">
        <v>46071</v>
      </c>
      <c r="X42" s="339" t="n">
        <v>46038</v>
      </c>
      <c r="Y42" s="339" t="n">
        <v>45707</v>
      </c>
    </row>
    <row r="43" ht="14.25" customHeight="1" s="669">
      <c r="A43" s="831" t="inlineStr">
        <is>
          <t>Above Target</t>
        </is>
      </c>
      <c r="C43" s="910">
        <f>MAX(0,D36-D38)</f>
        <v/>
      </c>
      <c r="D43" s="831" t="n"/>
      <c r="E43" s="831" t="n"/>
      <c r="F43" s="892" t="n"/>
      <c r="G43" s="892" t="n"/>
      <c r="H43" s="892" t="n"/>
      <c r="I43" s="892" t="n"/>
      <c r="J43" s="892" t="n"/>
      <c r="K43" s="892" t="n"/>
      <c r="L43" s="892" t="n"/>
      <c r="P43" s="887" t="inlineStr">
        <is>
          <t>1 Year</t>
        </is>
      </c>
      <c r="Q43" s="888" t="n">
        <v>0.03398</v>
      </c>
      <c r="R43" s="888" t="n">
        <v>0.03475</v>
      </c>
      <c r="S43" s="888" t="n">
        <v>0.04161</v>
      </c>
      <c r="T43" s="337" t="n"/>
      <c r="U43" s="337" t="n"/>
      <c r="V43" s="887" t="inlineStr">
        <is>
          <t>1 Year</t>
        </is>
      </c>
      <c r="W43" s="888" t="n">
        <v>0.03487</v>
      </c>
      <c r="X43" s="888" t="n">
        <v>0.03546</v>
      </c>
      <c r="Y43" s="888" t="n">
        <v>0.04215</v>
      </c>
    </row>
    <row r="44" ht="14.25" customHeight="1" s="669">
      <c r="A44" s="831" t="inlineStr">
        <is>
          <t>Remaining (2x = MAX)</t>
        </is>
      </c>
      <c r="C44" s="910">
        <f>MAX(0,2-D36)</f>
        <v/>
      </c>
      <c r="D44" s="831" t="n"/>
      <c r="E44" s="831" t="n"/>
      <c r="F44" s="892" t="n"/>
      <c r="G44" s="892" t="n"/>
      <c r="H44" s="892" t="n"/>
      <c r="I44" s="892" t="n"/>
      <c r="J44" s="892" t="n"/>
      <c r="K44" s="892" t="n"/>
      <c r="L44" s="892" t="n"/>
      <c r="P44" s="889" t="inlineStr">
        <is>
          <t>2 Year</t>
        </is>
      </c>
      <c r="Q44" s="890" t="n">
        <v>0.0324</v>
      </c>
      <c r="R44" s="890" t="n">
        <v>0.03381</v>
      </c>
      <c r="S44" s="890" t="n">
        <v>0.04053</v>
      </c>
      <c r="T44" s="337" t="n"/>
      <c r="U44" s="337" t="n"/>
      <c r="V44" s="889" t="inlineStr">
        <is>
          <t>2 Year</t>
        </is>
      </c>
      <c r="W44" s="890" t="n">
        <v>0.03465</v>
      </c>
      <c r="X44" s="890" t="n">
        <v>0.03596</v>
      </c>
      <c r="Y44" s="890" t="n">
        <v>0.04271</v>
      </c>
    </row>
    <row r="45" ht="14.25" customHeight="1" s="669">
      <c r="A45" s="831" t="n"/>
      <c r="B45" s="831" t="n"/>
      <c r="C45" s="831" t="n"/>
      <c r="D45" s="831" t="n"/>
      <c r="E45" s="831" t="n"/>
      <c r="F45" s="892" t="n"/>
      <c r="G45" s="892" t="n"/>
      <c r="H45" s="892" t="n"/>
      <c r="I45" s="892" t="n"/>
      <c r="J45" s="892" t="n"/>
      <c r="K45" s="892" t="n"/>
      <c r="L45" s="892" t="n"/>
      <c r="P45" s="887" t="inlineStr">
        <is>
          <t>3 Year</t>
        </is>
      </c>
      <c r="Q45" s="888" t="n">
        <v>0.03231</v>
      </c>
      <c r="R45" s="888" t="n">
        <v>0.03403</v>
      </c>
      <c r="S45" s="888" t="n">
        <v>0.0402</v>
      </c>
      <c r="T45" s="337" t="n"/>
      <c r="U45" s="337" t="n"/>
      <c r="V45" s="887" t="inlineStr">
        <is>
          <t>3 Year</t>
        </is>
      </c>
      <c r="W45" s="888" t="n">
        <v>0.03499</v>
      </c>
      <c r="X45" s="888" t="n">
        <v>0.03664</v>
      </c>
      <c r="Y45" s="888" t="n">
        <v>0.04289</v>
      </c>
    </row>
    <row r="46" ht="14.25" customHeight="1" s="669">
      <c r="A46" s="892" t="n"/>
      <c r="B46" s="892" t="n"/>
      <c r="C46" s="892" t="n"/>
      <c r="D46" s="892" t="n"/>
      <c r="E46" s="892" t="n"/>
      <c r="F46" s="892" t="n"/>
      <c r="G46" s="892" t="n"/>
      <c r="H46" s="892" t="n"/>
      <c r="I46" s="892" t="n"/>
      <c r="J46" s="892" t="n"/>
      <c r="K46" s="892" t="n"/>
      <c r="L46" s="892" t="n"/>
      <c r="P46" s="889" t="inlineStr">
        <is>
          <t>5 Year</t>
        </is>
      </c>
      <c r="Q46" s="890" t="n">
        <v>0.03323</v>
      </c>
      <c r="R46" s="890" t="n">
        <v>0.03505</v>
      </c>
      <c r="S46" s="890" t="n">
        <v>0.0402</v>
      </c>
      <c r="T46" s="337" t="n"/>
      <c r="U46" s="337" t="n"/>
      <c r="V46" s="889" t="inlineStr">
        <is>
          <t>5 Year</t>
        </is>
      </c>
      <c r="W46" s="890" t="n">
        <v>0.03651</v>
      </c>
      <c r="X46" s="890" t="n">
        <v>0.03823</v>
      </c>
      <c r="Y46" s="890" t="n">
        <v>0.04364</v>
      </c>
    </row>
    <row r="47" ht="14.25" customHeight="1" s="669">
      <c r="A47" s="892" t="n"/>
      <c r="B47" s="892" t="n"/>
      <c r="C47" s="892" t="n"/>
      <c r="D47" s="892" t="n"/>
      <c r="E47" s="892" t="n"/>
      <c r="F47" s="892" t="n"/>
      <c r="G47" s="892" t="n"/>
      <c r="H47" s="892" t="n"/>
      <c r="I47" s="892" t="n"/>
      <c r="J47" s="892" t="n"/>
      <c r="K47" s="892" t="n"/>
      <c r="L47" s="892" t="n"/>
      <c r="P47" s="887" t="inlineStr">
        <is>
          <t>7 Year</t>
        </is>
      </c>
      <c r="Q47" s="888" t="n">
        <v>0.03447</v>
      </c>
      <c r="R47" s="888" t="n">
        <v>0.0363</v>
      </c>
      <c r="S47" s="888" t="n">
        <v>0.04039</v>
      </c>
      <c r="T47" s="337" t="n"/>
      <c r="U47" s="337" t="n"/>
      <c r="V47" s="887" t="inlineStr">
        <is>
          <t>7 Year</t>
        </is>
      </c>
      <c r="W47" s="888" t="n">
        <v>0.03853</v>
      </c>
      <c r="X47" s="888" t="n">
        <v>0.04018</v>
      </c>
      <c r="Y47" s="888" t="n">
        <v>0.04453</v>
      </c>
    </row>
    <row r="48" ht="14.25" customHeight="1" s="669">
      <c r="A48" s="892" t="n"/>
      <c r="B48" s="892" t="n"/>
      <c r="C48" s="892" t="n"/>
      <c r="D48" s="892" t="n"/>
      <c r="E48" s="892" t="n"/>
      <c r="F48" s="892" t="n"/>
      <c r="G48" s="892" t="n"/>
      <c r="H48" s="892" t="n"/>
      <c r="I48" s="892" t="n"/>
      <c r="J48" s="892" t="n"/>
      <c r="K48" s="892" t="n"/>
      <c r="L48" s="892" t="n"/>
      <c r="P48" s="889" t="inlineStr">
        <is>
          <t>10 Year</t>
        </is>
      </c>
      <c r="Q48" s="890" t="n">
        <v>0.03618</v>
      </c>
      <c r="R48" s="890" t="n">
        <v>0.038</v>
      </c>
      <c r="S48" s="890" t="n">
        <v>0.04071</v>
      </c>
      <c r="T48" s="337" t="n"/>
      <c r="U48" s="337" t="n"/>
      <c r="V48" s="889" t="inlineStr">
        <is>
          <t>10 Year</t>
        </is>
      </c>
      <c r="W48" s="890" t="n">
        <v>0.04086</v>
      </c>
      <c r="X48" s="890" t="n">
        <v>0.04228</v>
      </c>
      <c r="Y48" s="890" t="n">
        <v>0.04532</v>
      </c>
    </row>
    <row r="49" ht="14.25" customHeight="1" s="669">
      <c r="A49" s="892" t="n"/>
      <c r="B49" s="892" t="n"/>
      <c r="C49" s="892" t="n"/>
      <c r="D49" s="892" t="n"/>
      <c r="E49" s="892" t="n"/>
      <c r="F49" s="892" t="n"/>
      <c r="G49" s="892" t="n"/>
      <c r="H49" s="892" t="n"/>
      <c r="I49" s="892" t="n"/>
      <c r="J49" s="892" t="n"/>
      <c r="K49" s="892" t="n"/>
      <c r="L49" s="892" t="n"/>
      <c r="P49" s="887" t="inlineStr">
        <is>
          <t>15 Year</t>
        </is>
      </c>
      <c r="Q49" s="888" t="n">
        <v>0.03838</v>
      </c>
      <c r="R49" s="888" t="n">
        <v>0.04018</v>
      </c>
      <c r="S49" s="888" t="n">
        <v>0.04129</v>
      </c>
      <c r="T49" s="337" t="n"/>
      <c r="U49" s="337" t="n"/>
      <c r="V49" s="887" t="inlineStr">
        <is>
          <t>30 Year</t>
        </is>
      </c>
      <c r="W49" s="888" t="n">
        <v>0.04711</v>
      </c>
      <c r="X49" s="888" t="n">
        <v>0.04837</v>
      </c>
      <c r="Y49" s="888" t="n">
        <v>0.04762</v>
      </c>
    </row>
    <row r="50" ht="14.25" customHeight="1" s="669">
      <c r="A50" s="892" t="n"/>
      <c r="B50" s="892" t="n"/>
      <c r="C50" s="892" t="n"/>
      <c r="D50" s="892" t="n"/>
      <c r="E50" s="892" t="n"/>
      <c r="F50" s="892" t="n"/>
      <c r="G50" s="892" t="n"/>
      <c r="H50" s="892" t="n"/>
      <c r="I50" s="892" t="n"/>
      <c r="J50" s="892" t="n"/>
      <c r="K50" s="892" t="n"/>
      <c r="L50" s="892" t="n"/>
      <c r="P50" s="902" t="inlineStr">
        <is>
          <t>30 Year</t>
        </is>
      </c>
      <c r="Q50" s="903" t="n">
        <v>0.03944</v>
      </c>
      <c r="R50" s="903" t="n">
        <v>0.04111</v>
      </c>
      <c r="S50" s="903" t="n">
        <v>0.03988</v>
      </c>
      <c r="T50" s="337" t="n"/>
      <c r="U50" s="337" t="n"/>
      <c r="V50" s="889" t="n"/>
      <c r="W50" s="890" t="n"/>
      <c r="X50" s="890" t="n"/>
      <c r="Y50" s="890" t="n"/>
    </row>
    <row r="51" ht="14.25" customHeight="1" s="669">
      <c r="A51" s="892" t="n"/>
      <c r="B51" s="892" t="n"/>
      <c r="C51" s="892" t="n"/>
      <c r="D51" s="892" t="n"/>
      <c r="E51" s="892" t="n"/>
      <c r="F51" s="892" t="n"/>
      <c r="G51" s="892" t="n"/>
      <c r="H51" s="892" t="n"/>
      <c r="I51" s="892" t="n"/>
      <c r="J51" s="892" t="n"/>
      <c r="K51" s="892" t="n"/>
      <c r="L51" s="892" t="n"/>
      <c r="P51" s="909" t="inlineStr">
        <is>
          <t>Updated 19 Feb 2026 | 18:45 ET</t>
        </is>
      </c>
      <c r="Q51" s="894" t="n"/>
      <c r="R51" s="894" t="n"/>
      <c r="S51" s="894" t="n"/>
      <c r="T51" s="337" t="n"/>
      <c r="U51" s="337" t="n"/>
      <c r="V51" s="909" t="inlineStr">
        <is>
          <t>Updated 19 Feb 2026 | 18:45 ET</t>
        </is>
      </c>
      <c r="W51" s="894" t="n"/>
      <c r="X51" s="894" t="n"/>
      <c r="Y51" s="894" t="n"/>
    </row>
    <row r="52">
      <c r="A52" s="892" t="n"/>
      <c r="B52" s="892" t="n"/>
      <c r="C52" s="892" t="n"/>
      <c r="D52" s="892" t="n"/>
      <c r="E52" s="892" t="n"/>
      <c r="F52" s="892" t="n"/>
      <c r="G52" s="892" t="n"/>
      <c r="H52" s="892" t="n"/>
      <c r="I52" s="892" t="n"/>
      <c r="J52" s="892" t="n"/>
      <c r="K52" s="892" t="n"/>
      <c r="L52" s="892" t="n"/>
    </row>
    <row r="53">
      <c r="A53" s="892" t="n"/>
      <c r="B53" s="892" t="n"/>
      <c r="C53" s="892" t="n"/>
      <c r="D53" s="892" t="n"/>
      <c r="E53" s="892" t="n"/>
      <c r="F53" s="892" t="n"/>
      <c r="G53" s="892" t="n"/>
      <c r="H53" s="892" t="n"/>
      <c r="I53" s="892" t="n"/>
      <c r="J53" s="892" t="n"/>
      <c r="K53" s="892" t="n"/>
      <c r="L53" s="892" t="n"/>
    </row>
    <row r="54">
      <c r="A54" s="892" t="n"/>
      <c r="B54" s="892" t="n"/>
      <c r="C54" s="892" t="n"/>
      <c r="D54" s="892" t="n"/>
      <c r="E54" s="892" t="n"/>
      <c r="F54" s="892" t="n"/>
      <c r="G54" s="892" t="n"/>
      <c r="H54" s="892" t="n"/>
      <c r="I54" s="892" t="n"/>
      <c r="J54" s="892" t="n"/>
      <c r="K54" s="892" t="n"/>
      <c r="L54" s="892" t="n"/>
    </row>
    <row r="55" ht="19.5" customHeight="1" s="669">
      <c r="A55" s="892" t="n"/>
      <c r="B55" s="892" t="n"/>
      <c r="C55" s="892" t="n"/>
      <c r="D55" s="892" t="n"/>
      <c r="E55" s="892" t="n"/>
      <c r="F55" s="892" t="n"/>
      <c r="G55" s="892" t="n"/>
      <c r="H55" s="892" t="n"/>
      <c r="I55" s="892" t="n"/>
      <c r="J55" s="892" t="n"/>
      <c r="K55" s="892" t="n"/>
      <c r="L55" s="892" t="n"/>
      <c r="V55" s="885" t="inlineStr">
        <is>
          <t>SOFR swap rate (annual/annual)</t>
        </is>
      </c>
      <c r="W55" s="806" t="n"/>
      <c r="X55" s="806" t="n"/>
      <c r="Y55" s="807" t="n"/>
    </row>
    <row r="56">
      <c r="A56" s="892" t="n"/>
      <c r="B56" s="892" t="n"/>
      <c r="C56" s="892" t="n"/>
      <c r="D56" s="892" t="n"/>
      <c r="E56" s="892" t="n"/>
      <c r="F56" s="892" t="n"/>
      <c r="G56" s="892" t="n"/>
      <c r="H56" s="892" t="n"/>
      <c r="I56" s="892" t="n"/>
      <c r="J56" s="892" t="n"/>
      <c r="K56" s="892" t="n"/>
      <c r="L56" s="892" t="n"/>
      <c r="V56" s="886" t="n"/>
      <c r="W56" s="339" t="n">
        <v>46071</v>
      </c>
      <c r="X56" s="339" t="n">
        <v>46038</v>
      </c>
      <c r="Y56" s="339" t="n">
        <v>45707</v>
      </c>
    </row>
    <row r="57">
      <c r="V57" s="887" t="inlineStr">
        <is>
          <t>1 Year</t>
        </is>
      </c>
      <c r="W57" s="888" t="n">
        <v>0.03447</v>
      </c>
      <c r="X57" s="888" t="n">
        <v>0.03526</v>
      </c>
      <c r="Y57" s="888" t="n">
        <v>0.04239</v>
      </c>
    </row>
    <row r="58">
      <c r="V58" s="889" t="inlineStr">
        <is>
          <t>2 Year</t>
        </is>
      </c>
      <c r="W58" s="890" t="n">
        <v>0.03287</v>
      </c>
      <c r="X58" s="890" t="n">
        <v>0.03431</v>
      </c>
      <c r="Y58" s="890" t="n">
        <v>0.04129</v>
      </c>
    </row>
    <row r="59">
      <c r="V59" s="887" t="inlineStr">
        <is>
          <t>3 Year</t>
        </is>
      </c>
      <c r="W59" s="888" t="n">
        <v>0.03279</v>
      </c>
      <c r="X59" s="888" t="n">
        <v>0.03456</v>
      </c>
      <c r="Y59" s="888" t="n">
        <v>0.04096</v>
      </c>
    </row>
    <row r="60">
      <c r="V60" s="889" t="inlineStr">
        <is>
          <t>5 Year</t>
        </is>
      </c>
      <c r="W60" s="890" t="n">
        <v>0.03375</v>
      </c>
      <c r="X60" s="890" t="n">
        <v>0.03562</v>
      </c>
      <c r="Y60" s="890" t="n">
        <v>0.04095</v>
      </c>
    </row>
    <row r="61">
      <c r="V61" s="887" t="inlineStr">
        <is>
          <t>7 Year</t>
        </is>
      </c>
      <c r="W61" s="888" t="n">
        <v>0.03503</v>
      </c>
      <c r="X61" s="888" t="n">
        <v>0.03693</v>
      </c>
      <c r="Y61" s="888" t="n">
        <v>0.04115</v>
      </c>
    </row>
    <row r="62">
      <c r="V62" s="889" t="inlineStr">
        <is>
          <t>10 Year</t>
        </is>
      </c>
      <c r="W62" s="890" t="n">
        <v>0.0368</v>
      </c>
      <c r="X62" s="890" t="n">
        <v>0.03868</v>
      </c>
      <c r="Y62" s="890" t="n">
        <v>0.04149</v>
      </c>
    </row>
    <row r="63">
      <c r="V63" s="887" t="inlineStr">
        <is>
          <t>15 Year</t>
        </is>
      </c>
      <c r="W63" s="888" t="n">
        <v>0.03907</v>
      </c>
      <c r="X63" s="888" t="n">
        <v>0.04095</v>
      </c>
      <c r="Y63" s="888" t="n">
        <v>0.04208</v>
      </c>
    </row>
    <row r="64">
      <c r="V64" s="902" t="inlineStr">
        <is>
          <t>30 Year</t>
        </is>
      </c>
      <c r="W64" s="903" t="n">
        <v>0.04018</v>
      </c>
      <c r="X64" s="903" t="n">
        <v>0.04191</v>
      </c>
      <c r="Y64" s="903" t="n">
        <v>0.04063</v>
      </c>
    </row>
    <row r="65">
      <c r="V65" s="909" t="inlineStr">
        <is>
          <t>Updated 19 Feb 2026 | 18:45 ET</t>
        </is>
      </c>
      <c r="W65" s="894" t="n"/>
      <c r="X65" s="894" t="n"/>
      <c r="Y65" s="894" t="n"/>
    </row>
    <row r="66" ht="19.5" customHeight="1" s="669">
      <c r="P66" s="885" t="inlineStr">
        <is>
          <t>Other U.S. Rates</t>
        </is>
      </c>
      <c r="Q66" s="806" t="n"/>
      <c r="R66" s="806" t="n"/>
      <c r="S66" s="806" t="n"/>
      <c r="T66" s="807" t="n"/>
    </row>
    <row r="67">
      <c r="P67" s="889" t="n"/>
      <c r="Q67" s="696" t="n"/>
      <c r="R67" s="376" t="n">
        <v>46070</v>
      </c>
      <c r="S67" s="376" t="n">
        <v>46038</v>
      </c>
      <c r="T67" s="376" t="n">
        <v>45706</v>
      </c>
    </row>
    <row r="68" ht="39.4" customHeight="1" s="669">
      <c r="P68" s="887" t="inlineStr">
        <is>
          <t>Fed Funds Effective Rate</t>
        </is>
      </c>
      <c r="Q68" s="696" t="n"/>
      <c r="R68" s="888" t="n">
        <v>0.0364</v>
      </c>
      <c r="S68" s="888" t="n">
        <v>0.0364</v>
      </c>
      <c r="T68" s="888" t="n">
        <v>0.0433</v>
      </c>
    </row>
    <row r="69">
      <c r="P69" s="889" t="inlineStr">
        <is>
          <t>Prime</t>
        </is>
      </c>
      <c r="Q69" s="696" t="n"/>
      <c r="R69" s="890" t="n">
        <v>0.0675</v>
      </c>
      <c r="S69" s="890" t="n">
        <v>0.0675</v>
      </c>
      <c r="T69" s="890" t="n">
        <v>0.075</v>
      </c>
    </row>
    <row r="70">
      <c r="P70" s="911" t="inlineStr">
        <is>
          <t>Updated 19 Feb 2026</t>
        </is>
      </c>
      <c r="Q70" s="806" t="n"/>
      <c r="R70" s="806" t="n"/>
      <c r="S70" s="806" t="n"/>
      <c r="T70" s="807" t="n"/>
    </row>
  </sheetData>
  <mergeCells count="29">
    <mergeCell ref="V41:Y41"/>
    <mergeCell ref="P28:S28"/>
    <mergeCell ref="A37:C37"/>
    <mergeCell ref="E34:G34"/>
    <mergeCell ref="P69:Q69"/>
    <mergeCell ref="A33:C33"/>
    <mergeCell ref="V65:Y65"/>
    <mergeCell ref="E36:G36"/>
    <mergeCell ref="A32:C32"/>
    <mergeCell ref="V55:Y55"/>
    <mergeCell ref="P51:S51"/>
    <mergeCell ref="P38:S38"/>
    <mergeCell ref="A35:C35"/>
    <mergeCell ref="P67:Q67"/>
    <mergeCell ref="A38:C38"/>
    <mergeCell ref="P70:T70"/>
    <mergeCell ref="V38:Y38"/>
    <mergeCell ref="P41:S41"/>
    <mergeCell ref="E32:G32"/>
    <mergeCell ref="E37:G37"/>
    <mergeCell ref="A34:C34"/>
    <mergeCell ref="P66:T66"/>
    <mergeCell ref="V28:Y28"/>
    <mergeCell ref="A36:C36"/>
    <mergeCell ref="E33:G33"/>
    <mergeCell ref="P68:Q68"/>
    <mergeCell ref="E35:G35"/>
    <mergeCell ref="V51:Y51"/>
    <mergeCell ref="E38:G38"/>
  </mergeCells>
  <conditionalFormatting sqref="D36:D38">
    <cfRule type="cellIs" priority="1" operator="equal">
      <formula>$D$38</formula>
    </cfRule>
    <cfRule type="cellIs" priority="2" operator="greaterThan" dxfId="1">
      <formula>$D$38</formula>
    </cfRule>
    <cfRule type="cellIs" priority="3" operator="lessThan" dxfId="0">
      <formula>$D$38</formula>
    </cfRule>
  </conditionalFormatting>
  <printOptions gridLinesSet="0"/>
  <pageMargins left="1.25" right="1" top="1" bottom="1" header="0.5" footer="0.5"/>
  <pageSetup orientation="portrait" horizontalDpi="4294967292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3:G9"/>
  <sheetViews>
    <sheetView workbookViewId="0">
      <selection activeCell="E27" sqref="E27"/>
    </sheetView>
  </sheetViews>
  <sheetFormatPr baseColWidth="8" defaultRowHeight="11.65"/>
  <cols>
    <col width="7.6875" customWidth="1" style="669" min="2" max="2"/>
    <col width="6.5" customWidth="1" style="669" min="3" max="3"/>
    <col width="11" customWidth="1" style="669" min="4" max="4"/>
    <col width="5.25" customWidth="1" style="669" min="6" max="6"/>
  </cols>
  <sheetData>
    <row r="3" ht="13.5" customHeight="1" s="669">
      <c r="A3" s="891" t="inlineStr">
        <is>
          <t>Item</t>
        </is>
      </c>
      <c r="B3" s="806" t="n"/>
      <c r="C3" s="807" t="n"/>
      <c r="D3" s="891" t="inlineStr">
        <is>
          <t>Value</t>
        </is>
      </c>
      <c r="E3" s="891" t="inlineStr">
        <is>
          <t>Notes</t>
        </is>
      </c>
      <c r="F3" s="806" t="n"/>
      <c r="G3" s="807" t="n"/>
    </row>
    <row r="4" ht="13.9" customHeight="1" s="669">
      <c r="A4" s="912" t="inlineStr">
        <is>
          <t xml:space="preserve"> Net Operating Income (NOI)</t>
        </is>
      </c>
      <c r="B4" s="894" t="n"/>
      <c r="C4" s="894" t="n"/>
      <c r="D4" s="895" t="n">
        <v>66249</v>
      </c>
      <c r="E4" s="913" t="inlineStr">
        <is>
          <t xml:space="preserve"> Annual income before debt payments</t>
        </is>
      </c>
      <c r="F4" s="894" t="n"/>
      <c r="G4" s="897" t="n"/>
    </row>
    <row r="5" ht="13.9" customHeight="1" s="669">
      <c r="A5" s="914" t="inlineStr">
        <is>
          <t xml:space="preserve"> Total Debt Service</t>
        </is>
      </c>
      <c r="D5" s="899" t="n">
        <v>49779.79257258408</v>
      </c>
      <c r="E5" s="915" t="inlineStr">
        <is>
          <t xml:space="preserve"> Annual principal + interest</t>
        </is>
      </c>
      <c r="G5" s="696" t="n"/>
    </row>
    <row r="6" ht="13.9" customHeight="1" s="669">
      <c r="A6" s="914" t="inlineStr">
        <is>
          <t xml:space="preserve"> Capital Expenditures (CapEx)</t>
        </is>
      </c>
      <c r="D6" s="899" t="n">
        <v>1700</v>
      </c>
      <c r="E6" s="915" t="inlineStr">
        <is>
          <t xml:space="preserve"> Optional – for adjusted DSCR</t>
        </is>
      </c>
      <c r="G6" s="696" t="n"/>
    </row>
    <row r="7" ht="13.9" customHeight="1" s="669">
      <c r="A7" s="914" t="inlineStr">
        <is>
          <t xml:space="preserve"> DSCR (Basic)</t>
        </is>
      </c>
      <c r="D7" s="901" t="n">
        <v>1.33</v>
      </c>
      <c r="E7" s="915" t="inlineStr">
        <is>
          <t xml:space="preserve"> NOI ÷ Debt Service</t>
        </is>
      </c>
      <c r="G7" s="696" t="n"/>
    </row>
    <row r="8" ht="13.9" customHeight="1" s="669">
      <c r="A8" s="914" t="inlineStr">
        <is>
          <t xml:space="preserve"> DSCR (After CapEx)</t>
        </is>
      </c>
      <c r="D8" s="901" t="n">
        <v>1.3</v>
      </c>
      <c r="E8" s="915" t="inlineStr">
        <is>
          <t xml:space="preserve"> (NOI – CapEx) ÷ Debt Service</t>
        </is>
      </c>
      <c r="G8" s="696" t="n"/>
    </row>
    <row r="9" ht="13.9" customHeight="1" s="669">
      <c r="A9" s="916" t="inlineStr">
        <is>
          <t xml:space="preserve"> Target DSCR</t>
        </is>
      </c>
      <c r="B9" s="905" t="n"/>
      <c r="C9" s="905" t="n"/>
      <c r="D9" s="478" t="n">
        <v>1.25</v>
      </c>
      <c r="E9" s="917" t="inlineStr">
        <is>
          <t xml:space="preserve"> Minimum acceptable DSCR</t>
        </is>
      </c>
      <c r="F9" s="905" t="n"/>
      <c r="G9" s="908" t="n"/>
    </row>
  </sheetData>
  <mergeCells count="14">
    <mergeCell ref="A4:C4"/>
    <mergeCell ref="A5:C5"/>
    <mergeCell ref="E5:G5"/>
    <mergeCell ref="A8:C8"/>
    <mergeCell ref="A6:C6"/>
    <mergeCell ref="E8:G8"/>
    <mergeCell ref="A9:C9"/>
    <mergeCell ref="E9:G9"/>
    <mergeCell ref="E4:G4"/>
    <mergeCell ref="A3:C3"/>
    <mergeCell ref="E3:G3"/>
    <mergeCell ref="A7:C7"/>
    <mergeCell ref="E7:G7"/>
    <mergeCell ref="E6:G6"/>
  </mergeCells>
  <conditionalFormatting sqref="D7:D8">
    <cfRule type="cellIs" priority="4" operator="equal">
      <formula>$D$38</formula>
    </cfRule>
    <cfRule type="cellIs" priority="5" operator="greaterThan" dxfId="1">
      <formula>$D$38</formula>
    </cfRule>
    <cfRule type="cellIs" priority="6" operator="lessThan" dxfId="0">
      <formula>$D$38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S51"/>
  <sheetViews>
    <sheetView showGridLines="0" zoomScale="75" workbookViewId="0">
      <selection activeCell="B3" sqref="B3"/>
    </sheetView>
  </sheetViews>
  <sheetFormatPr baseColWidth="8" defaultRowHeight="14.65"/>
  <cols>
    <col width="33.125" customWidth="1" style="918" min="1" max="1"/>
    <col width="10.875" customWidth="1" style="918" min="2" max="2"/>
    <col width="11.25" customWidth="1" style="918" min="3" max="3"/>
    <col width="10.125" customWidth="1" style="918" min="4" max="4"/>
    <col width="10" customWidth="1" style="918" min="5" max="5"/>
    <col width="11.125" customWidth="1" style="918" min="6" max="6"/>
    <col width="10.5" customWidth="1" style="918" min="7" max="7"/>
    <col width="11.125" customWidth="1" style="918" min="8" max="8"/>
    <col width="10.625" customWidth="1" style="918" min="9" max="9"/>
    <col width="10.5" customWidth="1" style="918" min="10" max="10"/>
    <col width="11" customWidth="1" style="918" min="11" max="11"/>
    <col width="10.625" customWidth="1" style="918" min="12" max="12"/>
    <col width="11" customWidth="1" style="918" min="13" max="13"/>
    <col width="10.25" customWidth="1" style="918" min="14" max="14"/>
    <col width="11" customWidth="1" style="918" min="15" max="15"/>
    <col width="10.25" customWidth="1" style="918" min="16" max="16"/>
    <col width="11" customWidth="1" style="918" min="17" max="17"/>
    <col width="10.25" customWidth="1" style="918" min="18" max="18"/>
    <col width="11" customWidth="1" style="918" min="19" max="19"/>
    <col width="9" customWidth="1" style="918" min="20" max="256"/>
    <col width="33.125" customWidth="1" style="918" min="257" max="257"/>
    <col width="10.875" customWidth="1" style="918" min="258" max="258"/>
    <col width="11.25" customWidth="1" style="918" min="259" max="259"/>
    <col width="9" customWidth="1" style="918" min="260" max="260"/>
    <col width="10" customWidth="1" style="918" min="261" max="261"/>
    <col width="11.125" customWidth="1" style="918" min="262" max="262"/>
    <col width="9.625" customWidth="1" style="918" min="263" max="263"/>
    <col width="11.125" customWidth="1" style="918" min="264" max="264"/>
    <col width="9.75" customWidth="1" style="918" min="265" max="265"/>
    <col width="9.625" customWidth="1" style="918" min="266" max="266"/>
    <col width="11" customWidth="1" style="918" min="267" max="267"/>
    <col width="9.625" customWidth="1" style="918" min="268" max="268"/>
    <col width="11" customWidth="1" style="918" min="269" max="269"/>
    <col width="9.625" customWidth="1" style="918" min="270" max="270"/>
    <col width="11" customWidth="1" style="918" min="271" max="271"/>
    <col width="9" customWidth="1" style="918" min="272" max="512"/>
    <col width="33.125" customWidth="1" style="918" min="513" max="513"/>
    <col width="10.875" customWidth="1" style="918" min="514" max="514"/>
    <col width="11.25" customWidth="1" style="918" min="515" max="515"/>
    <col width="9" customWidth="1" style="918" min="516" max="516"/>
    <col width="10" customWidth="1" style="918" min="517" max="517"/>
    <col width="11.125" customWidth="1" style="918" min="518" max="518"/>
    <col width="9.625" customWidth="1" style="918" min="519" max="519"/>
    <col width="11.125" customWidth="1" style="918" min="520" max="520"/>
    <col width="9.75" customWidth="1" style="918" min="521" max="521"/>
    <col width="9.625" customWidth="1" style="918" min="522" max="522"/>
    <col width="11" customWidth="1" style="918" min="523" max="523"/>
    <col width="9.625" customWidth="1" style="918" min="524" max="524"/>
    <col width="11" customWidth="1" style="918" min="525" max="525"/>
    <col width="9.625" customWidth="1" style="918" min="526" max="526"/>
    <col width="11" customWidth="1" style="918" min="527" max="527"/>
    <col width="9" customWidth="1" style="918" min="528" max="768"/>
    <col width="33.125" customWidth="1" style="918" min="769" max="769"/>
    <col width="10.875" customWidth="1" style="918" min="770" max="770"/>
    <col width="11.25" customWidth="1" style="918" min="771" max="771"/>
    <col width="9" customWidth="1" style="918" min="772" max="772"/>
    <col width="10" customWidth="1" style="918" min="773" max="773"/>
    <col width="11.125" customWidth="1" style="918" min="774" max="774"/>
    <col width="9.625" customWidth="1" style="918" min="775" max="775"/>
    <col width="11.125" customWidth="1" style="918" min="776" max="776"/>
    <col width="9.75" customWidth="1" style="918" min="777" max="777"/>
    <col width="9.625" customWidth="1" style="918" min="778" max="778"/>
    <col width="11" customWidth="1" style="918" min="779" max="779"/>
    <col width="9.625" customWidth="1" style="918" min="780" max="780"/>
    <col width="11" customWidth="1" style="918" min="781" max="781"/>
    <col width="9.625" customWidth="1" style="918" min="782" max="782"/>
    <col width="11" customWidth="1" style="918" min="783" max="783"/>
    <col width="9" customWidth="1" style="918" min="784" max="1024"/>
    <col width="33.125" customWidth="1" style="918" min="1025" max="1025"/>
    <col width="10.875" customWidth="1" style="918" min="1026" max="1026"/>
    <col width="11.25" customWidth="1" style="918" min="1027" max="1027"/>
    <col width="9" customWidth="1" style="918" min="1028" max="1028"/>
    <col width="10" customWidth="1" style="918" min="1029" max="1029"/>
    <col width="11.125" customWidth="1" style="918" min="1030" max="1030"/>
    <col width="9.625" customWidth="1" style="918" min="1031" max="1031"/>
    <col width="11.125" customWidth="1" style="918" min="1032" max="1032"/>
    <col width="9.75" customWidth="1" style="918" min="1033" max="1033"/>
    <col width="9.625" customWidth="1" style="918" min="1034" max="1034"/>
    <col width="11" customWidth="1" style="918" min="1035" max="1035"/>
    <col width="9.625" customWidth="1" style="918" min="1036" max="1036"/>
    <col width="11" customWidth="1" style="918" min="1037" max="1037"/>
    <col width="9.625" customWidth="1" style="918" min="1038" max="1038"/>
    <col width="11" customWidth="1" style="918" min="1039" max="1039"/>
    <col width="9" customWidth="1" style="918" min="1040" max="1280"/>
    <col width="33.125" customWidth="1" style="918" min="1281" max="1281"/>
    <col width="10.875" customWidth="1" style="918" min="1282" max="1282"/>
    <col width="11.25" customWidth="1" style="918" min="1283" max="1283"/>
    <col width="9" customWidth="1" style="918" min="1284" max="1284"/>
    <col width="10" customWidth="1" style="918" min="1285" max="1285"/>
    <col width="11.125" customWidth="1" style="918" min="1286" max="1286"/>
    <col width="9.625" customWidth="1" style="918" min="1287" max="1287"/>
    <col width="11.125" customWidth="1" style="918" min="1288" max="1288"/>
    <col width="9.75" customWidth="1" style="918" min="1289" max="1289"/>
    <col width="9.625" customWidth="1" style="918" min="1290" max="1290"/>
    <col width="11" customWidth="1" style="918" min="1291" max="1291"/>
    <col width="9.625" customWidth="1" style="918" min="1292" max="1292"/>
    <col width="11" customWidth="1" style="918" min="1293" max="1293"/>
    <col width="9.625" customWidth="1" style="918" min="1294" max="1294"/>
    <col width="11" customWidth="1" style="918" min="1295" max="1295"/>
    <col width="9" customWidth="1" style="918" min="1296" max="1536"/>
    <col width="33.125" customWidth="1" style="918" min="1537" max="1537"/>
    <col width="10.875" customWidth="1" style="918" min="1538" max="1538"/>
    <col width="11.25" customWidth="1" style="918" min="1539" max="1539"/>
    <col width="9" customWidth="1" style="918" min="1540" max="1540"/>
    <col width="10" customWidth="1" style="918" min="1541" max="1541"/>
    <col width="11.125" customWidth="1" style="918" min="1542" max="1542"/>
    <col width="9.625" customWidth="1" style="918" min="1543" max="1543"/>
    <col width="11.125" customWidth="1" style="918" min="1544" max="1544"/>
    <col width="9.75" customWidth="1" style="918" min="1545" max="1545"/>
    <col width="9.625" customWidth="1" style="918" min="1546" max="1546"/>
    <col width="11" customWidth="1" style="918" min="1547" max="1547"/>
    <col width="9.625" customWidth="1" style="918" min="1548" max="1548"/>
    <col width="11" customWidth="1" style="918" min="1549" max="1549"/>
    <col width="9.625" customWidth="1" style="918" min="1550" max="1550"/>
    <col width="11" customWidth="1" style="918" min="1551" max="1551"/>
    <col width="9" customWidth="1" style="918" min="1552" max="1792"/>
    <col width="33.125" customWidth="1" style="918" min="1793" max="1793"/>
    <col width="10.875" customWidth="1" style="918" min="1794" max="1794"/>
    <col width="11.25" customWidth="1" style="918" min="1795" max="1795"/>
    <col width="9" customWidth="1" style="918" min="1796" max="1796"/>
    <col width="10" customWidth="1" style="918" min="1797" max="1797"/>
    <col width="11.125" customWidth="1" style="918" min="1798" max="1798"/>
    <col width="9.625" customWidth="1" style="918" min="1799" max="1799"/>
    <col width="11.125" customWidth="1" style="918" min="1800" max="1800"/>
    <col width="9.75" customWidth="1" style="918" min="1801" max="1801"/>
    <col width="9.625" customWidth="1" style="918" min="1802" max="1802"/>
    <col width="11" customWidth="1" style="918" min="1803" max="1803"/>
    <col width="9.625" customWidth="1" style="918" min="1804" max="1804"/>
    <col width="11" customWidth="1" style="918" min="1805" max="1805"/>
    <col width="9.625" customWidth="1" style="918" min="1806" max="1806"/>
    <col width="11" customWidth="1" style="918" min="1807" max="1807"/>
    <col width="9" customWidth="1" style="918" min="1808" max="2048"/>
    <col width="33.125" customWidth="1" style="918" min="2049" max="2049"/>
    <col width="10.875" customWidth="1" style="918" min="2050" max="2050"/>
    <col width="11.25" customWidth="1" style="918" min="2051" max="2051"/>
    <col width="9" customWidth="1" style="918" min="2052" max="2052"/>
    <col width="10" customWidth="1" style="918" min="2053" max="2053"/>
    <col width="11.125" customWidth="1" style="918" min="2054" max="2054"/>
    <col width="9.625" customWidth="1" style="918" min="2055" max="2055"/>
    <col width="11.125" customWidth="1" style="918" min="2056" max="2056"/>
    <col width="9.75" customWidth="1" style="918" min="2057" max="2057"/>
    <col width="9.625" customWidth="1" style="918" min="2058" max="2058"/>
    <col width="11" customWidth="1" style="918" min="2059" max="2059"/>
    <col width="9.625" customWidth="1" style="918" min="2060" max="2060"/>
    <col width="11" customWidth="1" style="918" min="2061" max="2061"/>
    <col width="9.625" customWidth="1" style="918" min="2062" max="2062"/>
    <col width="11" customWidth="1" style="918" min="2063" max="2063"/>
    <col width="9" customWidth="1" style="918" min="2064" max="2304"/>
    <col width="33.125" customWidth="1" style="918" min="2305" max="2305"/>
    <col width="10.875" customWidth="1" style="918" min="2306" max="2306"/>
    <col width="11.25" customWidth="1" style="918" min="2307" max="2307"/>
    <col width="9" customWidth="1" style="918" min="2308" max="2308"/>
    <col width="10" customWidth="1" style="918" min="2309" max="2309"/>
    <col width="11.125" customWidth="1" style="918" min="2310" max="2310"/>
    <col width="9.625" customWidth="1" style="918" min="2311" max="2311"/>
    <col width="11.125" customWidth="1" style="918" min="2312" max="2312"/>
    <col width="9.75" customWidth="1" style="918" min="2313" max="2313"/>
    <col width="9.625" customWidth="1" style="918" min="2314" max="2314"/>
    <col width="11" customWidth="1" style="918" min="2315" max="2315"/>
    <col width="9.625" customWidth="1" style="918" min="2316" max="2316"/>
    <col width="11" customWidth="1" style="918" min="2317" max="2317"/>
    <col width="9.625" customWidth="1" style="918" min="2318" max="2318"/>
    <col width="11" customWidth="1" style="918" min="2319" max="2319"/>
    <col width="9" customWidth="1" style="918" min="2320" max="2560"/>
    <col width="33.125" customWidth="1" style="918" min="2561" max="2561"/>
    <col width="10.875" customWidth="1" style="918" min="2562" max="2562"/>
    <col width="11.25" customWidth="1" style="918" min="2563" max="2563"/>
    <col width="9" customWidth="1" style="918" min="2564" max="2564"/>
    <col width="10" customWidth="1" style="918" min="2565" max="2565"/>
    <col width="11.125" customWidth="1" style="918" min="2566" max="2566"/>
    <col width="9.625" customWidth="1" style="918" min="2567" max="2567"/>
    <col width="11.125" customWidth="1" style="918" min="2568" max="2568"/>
    <col width="9.75" customWidth="1" style="918" min="2569" max="2569"/>
    <col width="9.625" customWidth="1" style="918" min="2570" max="2570"/>
    <col width="11" customWidth="1" style="918" min="2571" max="2571"/>
    <col width="9.625" customWidth="1" style="918" min="2572" max="2572"/>
    <col width="11" customWidth="1" style="918" min="2573" max="2573"/>
    <col width="9.625" customWidth="1" style="918" min="2574" max="2574"/>
    <col width="11" customWidth="1" style="918" min="2575" max="2575"/>
    <col width="9" customWidth="1" style="918" min="2576" max="2816"/>
    <col width="33.125" customWidth="1" style="918" min="2817" max="2817"/>
    <col width="10.875" customWidth="1" style="918" min="2818" max="2818"/>
    <col width="11.25" customWidth="1" style="918" min="2819" max="2819"/>
    <col width="9" customWidth="1" style="918" min="2820" max="2820"/>
    <col width="10" customWidth="1" style="918" min="2821" max="2821"/>
    <col width="11.125" customWidth="1" style="918" min="2822" max="2822"/>
    <col width="9.625" customWidth="1" style="918" min="2823" max="2823"/>
    <col width="11.125" customWidth="1" style="918" min="2824" max="2824"/>
    <col width="9.75" customWidth="1" style="918" min="2825" max="2825"/>
    <col width="9.625" customWidth="1" style="918" min="2826" max="2826"/>
    <col width="11" customWidth="1" style="918" min="2827" max="2827"/>
    <col width="9.625" customWidth="1" style="918" min="2828" max="2828"/>
    <col width="11" customWidth="1" style="918" min="2829" max="2829"/>
    <col width="9.625" customWidth="1" style="918" min="2830" max="2830"/>
    <col width="11" customWidth="1" style="918" min="2831" max="2831"/>
    <col width="9" customWidth="1" style="918" min="2832" max="3072"/>
    <col width="33.125" customWidth="1" style="918" min="3073" max="3073"/>
    <col width="10.875" customWidth="1" style="918" min="3074" max="3074"/>
    <col width="11.25" customWidth="1" style="918" min="3075" max="3075"/>
    <col width="9" customWidth="1" style="918" min="3076" max="3076"/>
    <col width="10" customWidth="1" style="918" min="3077" max="3077"/>
    <col width="11.125" customWidth="1" style="918" min="3078" max="3078"/>
    <col width="9.625" customWidth="1" style="918" min="3079" max="3079"/>
    <col width="11.125" customWidth="1" style="918" min="3080" max="3080"/>
    <col width="9.75" customWidth="1" style="918" min="3081" max="3081"/>
    <col width="9.625" customWidth="1" style="918" min="3082" max="3082"/>
    <col width="11" customWidth="1" style="918" min="3083" max="3083"/>
    <col width="9.625" customWidth="1" style="918" min="3084" max="3084"/>
    <col width="11" customWidth="1" style="918" min="3085" max="3085"/>
    <col width="9.625" customWidth="1" style="918" min="3086" max="3086"/>
    <col width="11" customWidth="1" style="918" min="3087" max="3087"/>
    <col width="9" customWidth="1" style="918" min="3088" max="3328"/>
    <col width="33.125" customWidth="1" style="918" min="3329" max="3329"/>
    <col width="10.875" customWidth="1" style="918" min="3330" max="3330"/>
    <col width="11.25" customWidth="1" style="918" min="3331" max="3331"/>
    <col width="9" customWidth="1" style="918" min="3332" max="3332"/>
    <col width="10" customWidth="1" style="918" min="3333" max="3333"/>
    <col width="11.125" customWidth="1" style="918" min="3334" max="3334"/>
    <col width="9.625" customWidth="1" style="918" min="3335" max="3335"/>
    <col width="11.125" customWidth="1" style="918" min="3336" max="3336"/>
    <col width="9.75" customWidth="1" style="918" min="3337" max="3337"/>
    <col width="9.625" customWidth="1" style="918" min="3338" max="3338"/>
    <col width="11" customWidth="1" style="918" min="3339" max="3339"/>
    <col width="9.625" customWidth="1" style="918" min="3340" max="3340"/>
    <col width="11" customWidth="1" style="918" min="3341" max="3341"/>
    <col width="9.625" customWidth="1" style="918" min="3342" max="3342"/>
    <col width="11" customWidth="1" style="918" min="3343" max="3343"/>
    <col width="9" customWidth="1" style="918" min="3344" max="3584"/>
    <col width="33.125" customWidth="1" style="918" min="3585" max="3585"/>
    <col width="10.875" customWidth="1" style="918" min="3586" max="3586"/>
    <col width="11.25" customWidth="1" style="918" min="3587" max="3587"/>
    <col width="9" customWidth="1" style="918" min="3588" max="3588"/>
    <col width="10" customWidth="1" style="918" min="3589" max="3589"/>
    <col width="11.125" customWidth="1" style="918" min="3590" max="3590"/>
    <col width="9.625" customWidth="1" style="918" min="3591" max="3591"/>
    <col width="11.125" customWidth="1" style="918" min="3592" max="3592"/>
    <col width="9.75" customWidth="1" style="918" min="3593" max="3593"/>
    <col width="9.625" customWidth="1" style="918" min="3594" max="3594"/>
    <col width="11" customWidth="1" style="918" min="3595" max="3595"/>
    <col width="9.625" customWidth="1" style="918" min="3596" max="3596"/>
    <col width="11" customWidth="1" style="918" min="3597" max="3597"/>
    <col width="9.625" customWidth="1" style="918" min="3598" max="3598"/>
    <col width="11" customWidth="1" style="918" min="3599" max="3599"/>
    <col width="9" customWidth="1" style="918" min="3600" max="3840"/>
    <col width="33.125" customWidth="1" style="918" min="3841" max="3841"/>
    <col width="10.875" customWidth="1" style="918" min="3842" max="3842"/>
    <col width="11.25" customWidth="1" style="918" min="3843" max="3843"/>
    <col width="9" customWidth="1" style="918" min="3844" max="3844"/>
    <col width="10" customWidth="1" style="918" min="3845" max="3845"/>
    <col width="11.125" customWidth="1" style="918" min="3846" max="3846"/>
    <col width="9.625" customWidth="1" style="918" min="3847" max="3847"/>
    <col width="11.125" customWidth="1" style="918" min="3848" max="3848"/>
    <col width="9.75" customWidth="1" style="918" min="3849" max="3849"/>
    <col width="9.625" customWidth="1" style="918" min="3850" max="3850"/>
    <col width="11" customWidth="1" style="918" min="3851" max="3851"/>
    <col width="9.625" customWidth="1" style="918" min="3852" max="3852"/>
    <col width="11" customWidth="1" style="918" min="3853" max="3853"/>
    <col width="9.625" customWidth="1" style="918" min="3854" max="3854"/>
    <col width="11" customWidth="1" style="918" min="3855" max="3855"/>
    <col width="9" customWidth="1" style="918" min="3856" max="4096"/>
    <col width="33.125" customWidth="1" style="918" min="4097" max="4097"/>
    <col width="10.875" customWidth="1" style="918" min="4098" max="4098"/>
    <col width="11.25" customWidth="1" style="918" min="4099" max="4099"/>
    <col width="9" customWidth="1" style="918" min="4100" max="4100"/>
    <col width="10" customWidth="1" style="918" min="4101" max="4101"/>
    <col width="11.125" customWidth="1" style="918" min="4102" max="4102"/>
    <col width="9.625" customWidth="1" style="918" min="4103" max="4103"/>
    <col width="11.125" customWidth="1" style="918" min="4104" max="4104"/>
    <col width="9.75" customWidth="1" style="918" min="4105" max="4105"/>
    <col width="9.625" customWidth="1" style="918" min="4106" max="4106"/>
    <col width="11" customWidth="1" style="918" min="4107" max="4107"/>
    <col width="9.625" customWidth="1" style="918" min="4108" max="4108"/>
    <col width="11" customWidth="1" style="918" min="4109" max="4109"/>
    <col width="9.625" customWidth="1" style="918" min="4110" max="4110"/>
    <col width="11" customWidth="1" style="918" min="4111" max="4111"/>
    <col width="9" customWidth="1" style="918" min="4112" max="4352"/>
    <col width="33.125" customWidth="1" style="918" min="4353" max="4353"/>
    <col width="10.875" customWidth="1" style="918" min="4354" max="4354"/>
    <col width="11.25" customWidth="1" style="918" min="4355" max="4355"/>
    <col width="9" customWidth="1" style="918" min="4356" max="4356"/>
    <col width="10" customWidth="1" style="918" min="4357" max="4357"/>
    <col width="11.125" customWidth="1" style="918" min="4358" max="4358"/>
    <col width="9.625" customWidth="1" style="918" min="4359" max="4359"/>
    <col width="11.125" customWidth="1" style="918" min="4360" max="4360"/>
    <col width="9.75" customWidth="1" style="918" min="4361" max="4361"/>
    <col width="9.625" customWidth="1" style="918" min="4362" max="4362"/>
    <col width="11" customWidth="1" style="918" min="4363" max="4363"/>
    <col width="9.625" customWidth="1" style="918" min="4364" max="4364"/>
    <col width="11" customWidth="1" style="918" min="4365" max="4365"/>
    <col width="9.625" customWidth="1" style="918" min="4366" max="4366"/>
    <col width="11" customWidth="1" style="918" min="4367" max="4367"/>
    <col width="9" customWidth="1" style="918" min="4368" max="4608"/>
    <col width="33.125" customWidth="1" style="918" min="4609" max="4609"/>
    <col width="10.875" customWidth="1" style="918" min="4610" max="4610"/>
    <col width="11.25" customWidth="1" style="918" min="4611" max="4611"/>
    <col width="9" customWidth="1" style="918" min="4612" max="4612"/>
    <col width="10" customWidth="1" style="918" min="4613" max="4613"/>
    <col width="11.125" customWidth="1" style="918" min="4614" max="4614"/>
    <col width="9.625" customWidth="1" style="918" min="4615" max="4615"/>
    <col width="11.125" customWidth="1" style="918" min="4616" max="4616"/>
    <col width="9.75" customWidth="1" style="918" min="4617" max="4617"/>
    <col width="9.625" customWidth="1" style="918" min="4618" max="4618"/>
    <col width="11" customWidth="1" style="918" min="4619" max="4619"/>
    <col width="9.625" customWidth="1" style="918" min="4620" max="4620"/>
    <col width="11" customWidth="1" style="918" min="4621" max="4621"/>
    <col width="9.625" customWidth="1" style="918" min="4622" max="4622"/>
    <col width="11" customWidth="1" style="918" min="4623" max="4623"/>
    <col width="9" customWidth="1" style="918" min="4624" max="4864"/>
    <col width="33.125" customWidth="1" style="918" min="4865" max="4865"/>
    <col width="10.875" customWidth="1" style="918" min="4866" max="4866"/>
    <col width="11.25" customWidth="1" style="918" min="4867" max="4867"/>
    <col width="9" customWidth="1" style="918" min="4868" max="4868"/>
    <col width="10" customWidth="1" style="918" min="4869" max="4869"/>
    <col width="11.125" customWidth="1" style="918" min="4870" max="4870"/>
    <col width="9.625" customWidth="1" style="918" min="4871" max="4871"/>
    <col width="11.125" customWidth="1" style="918" min="4872" max="4872"/>
    <col width="9.75" customWidth="1" style="918" min="4873" max="4873"/>
    <col width="9.625" customWidth="1" style="918" min="4874" max="4874"/>
    <col width="11" customWidth="1" style="918" min="4875" max="4875"/>
    <col width="9.625" customWidth="1" style="918" min="4876" max="4876"/>
    <col width="11" customWidth="1" style="918" min="4877" max="4877"/>
    <col width="9.625" customWidth="1" style="918" min="4878" max="4878"/>
    <col width="11" customWidth="1" style="918" min="4879" max="4879"/>
    <col width="9" customWidth="1" style="918" min="4880" max="5120"/>
    <col width="33.125" customWidth="1" style="918" min="5121" max="5121"/>
    <col width="10.875" customWidth="1" style="918" min="5122" max="5122"/>
    <col width="11.25" customWidth="1" style="918" min="5123" max="5123"/>
    <col width="9" customWidth="1" style="918" min="5124" max="5124"/>
    <col width="10" customWidth="1" style="918" min="5125" max="5125"/>
    <col width="11.125" customWidth="1" style="918" min="5126" max="5126"/>
    <col width="9.625" customWidth="1" style="918" min="5127" max="5127"/>
    <col width="11.125" customWidth="1" style="918" min="5128" max="5128"/>
    <col width="9.75" customWidth="1" style="918" min="5129" max="5129"/>
    <col width="9.625" customWidth="1" style="918" min="5130" max="5130"/>
    <col width="11" customWidth="1" style="918" min="5131" max="5131"/>
    <col width="9.625" customWidth="1" style="918" min="5132" max="5132"/>
    <col width="11" customWidth="1" style="918" min="5133" max="5133"/>
    <col width="9.625" customWidth="1" style="918" min="5134" max="5134"/>
    <col width="11" customWidth="1" style="918" min="5135" max="5135"/>
    <col width="9" customWidth="1" style="918" min="5136" max="5376"/>
    <col width="33.125" customWidth="1" style="918" min="5377" max="5377"/>
    <col width="10.875" customWidth="1" style="918" min="5378" max="5378"/>
    <col width="11.25" customWidth="1" style="918" min="5379" max="5379"/>
    <col width="9" customWidth="1" style="918" min="5380" max="5380"/>
    <col width="10" customWidth="1" style="918" min="5381" max="5381"/>
    <col width="11.125" customWidth="1" style="918" min="5382" max="5382"/>
    <col width="9.625" customWidth="1" style="918" min="5383" max="5383"/>
    <col width="11.125" customWidth="1" style="918" min="5384" max="5384"/>
    <col width="9.75" customWidth="1" style="918" min="5385" max="5385"/>
    <col width="9.625" customWidth="1" style="918" min="5386" max="5386"/>
    <col width="11" customWidth="1" style="918" min="5387" max="5387"/>
    <col width="9.625" customWidth="1" style="918" min="5388" max="5388"/>
    <col width="11" customWidth="1" style="918" min="5389" max="5389"/>
    <col width="9.625" customWidth="1" style="918" min="5390" max="5390"/>
    <col width="11" customWidth="1" style="918" min="5391" max="5391"/>
    <col width="9" customWidth="1" style="918" min="5392" max="5632"/>
    <col width="33.125" customWidth="1" style="918" min="5633" max="5633"/>
    <col width="10.875" customWidth="1" style="918" min="5634" max="5634"/>
    <col width="11.25" customWidth="1" style="918" min="5635" max="5635"/>
    <col width="9" customWidth="1" style="918" min="5636" max="5636"/>
    <col width="10" customWidth="1" style="918" min="5637" max="5637"/>
    <col width="11.125" customWidth="1" style="918" min="5638" max="5638"/>
    <col width="9.625" customWidth="1" style="918" min="5639" max="5639"/>
    <col width="11.125" customWidth="1" style="918" min="5640" max="5640"/>
    <col width="9.75" customWidth="1" style="918" min="5641" max="5641"/>
    <col width="9.625" customWidth="1" style="918" min="5642" max="5642"/>
    <col width="11" customWidth="1" style="918" min="5643" max="5643"/>
    <col width="9.625" customWidth="1" style="918" min="5644" max="5644"/>
    <col width="11" customWidth="1" style="918" min="5645" max="5645"/>
    <col width="9.625" customWidth="1" style="918" min="5646" max="5646"/>
    <col width="11" customWidth="1" style="918" min="5647" max="5647"/>
    <col width="9" customWidth="1" style="918" min="5648" max="5888"/>
    <col width="33.125" customWidth="1" style="918" min="5889" max="5889"/>
    <col width="10.875" customWidth="1" style="918" min="5890" max="5890"/>
    <col width="11.25" customWidth="1" style="918" min="5891" max="5891"/>
    <col width="9" customWidth="1" style="918" min="5892" max="5892"/>
    <col width="10" customWidth="1" style="918" min="5893" max="5893"/>
    <col width="11.125" customWidth="1" style="918" min="5894" max="5894"/>
    <col width="9.625" customWidth="1" style="918" min="5895" max="5895"/>
    <col width="11.125" customWidth="1" style="918" min="5896" max="5896"/>
    <col width="9.75" customWidth="1" style="918" min="5897" max="5897"/>
    <col width="9.625" customWidth="1" style="918" min="5898" max="5898"/>
    <col width="11" customWidth="1" style="918" min="5899" max="5899"/>
    <col width="9.625" customWidth="1" style="918" min="5900" max="5900"/>
    <col width="11" customWidth="1" style="918" min="5901" max="5901"/>
    <col width="9.625" customWidth="1" style="918" min="5902" max="5902"/>
    <col width="11" customWidth="1" style="918" min="5903" max="5903"/>
    <col width="9" customWidth="1" style="918" min="5904" max="6144"/>
    <col width="33.125" customWidth="1" style="918" min="6145" max="6145"/>
    <col width="10.875" customWidth="1" style="918" min="6146" max="6146"/>
    <col width="11.25" customWidth="1" style="918" min="6147" max="6147"/>
    <col width="9" customWidth="1" style="918" min="6148" max="6148"/>
    <col width="10" customWidth="1" style="918" min="6149" max="6149"/>
    <col width="11.125" customWidth="1" style="918" min="6150" max="6150"/>
    <col width="9.625" customWidth="1" style="918" min="6151" max="6151"/>
    <col width="11.125" customWidth="1" style="918" min="6152" max="6152"/>
    <col width="9.75" customWidth="1" style="918" min="6153" max="6153"/>
    <col width="9.625" customWidth="1" style="918" min="6154" max="6154"/>
    <col width="11" customWidth="1" style="918" min="6155" max="6155"/>
    <col width="9.625" customWidth="1" style="918" min="6156" max="6156"/>
    <col width="11" customWidth="1" style="918" min="6157" max="6157"/>
    <col width="9.625" customWidth="1" style="918" min="6158" max="6158"/>
    <col width="11" customWidth="1" style="918" min="6159" max="6159"/>
    <col width="9" customWidth="1" style="918" min="6160" max="6400"/>
    <col width="33.125" customWidth="1" style="918" min="6401" max="6401"/>
    <col width="10.875" customWidth="1" style="918" min="6402" max="6402"/>
    <col width="11.25" customWidth="1" style="918" min="6403" max="6403"/>
    <col width="9" customWidth="1" style="918" min="6404" max="6404"/>
    <col width="10" customWidth="1" style="918" min="6405" max="6405"/>
    <col width="11.125" customWidth="1" style="918" min="6406" max="6406"/>
    <col width="9.625" customWidth="1" style="918" min="6407" max="6407"/>
    <col width="11.125" customWidth="1" style="918" min="6408" max="6408"/>
    <col width="9.75" customWidth="1" style="918" min="6409" max="6409"/>
    <col width="9.625" customWidth="1" style="918" min="6410" max="6410"/>
    <col width="11" customWidth="1" style="918" min="6411" max="6411"/>
    <col width="9.625" customWidth="1" style="918" min="6412" max="6412"/>
    <col width="11" customWidth="1" style="918" min="6413" max="6413"/>
    <col width="9.625" customWidth="1" style="918" min="6414" max="6414"/>
    <col width="11" customWidth="1" style="918" min="6415" max="6415"/>
    <col width="9" customWidth="1" style="918" min="6416" max="6656"/>
    <col width="33.125" customWidth="1" style="918" min="6657" max="6657"/>
    <col width="10.875" customWidth="1" style="918" min="6658" max="6658"/>
    <col width="11.25" customWidth="1" style="918" min="6659" max="6659"/>
    <col width="9" customWidth="1" style="918" min="6660" max="6660"/>
    <col width="10" customWidth="1" style="918" min="6661" max="6661"/>
    <col width="11.125" customWidth="1" style="918" min="6662" max="6662"/>
    <col width="9.625" customWidth="1" style="918" min="6663" max="6663"/>
    <col width="11.125" customWidth="1" style="918" min="6664" max="6664"/>
    <col width="9.75" customWidth="1" style="918" min="6665" max="6665"/>
    <col width="9.625" customWidth="1" style="918" min="6666" max="6666"/>
    <col width="11" customWidth="1" style="918" min="6667" max="6667"/>
    <col width="9.625" customWidth="1" style="918" min="6668" max="6668"/>
    <col width="11" customWidth="1" style="918" min="6669" max="6669"/>
    <col width="9.625" customWidth="1" style="918" min="6670" max="6670"/>
    <col width="11" customWidth="1" style="918" min="6671" max="6671"/>
    <col width="9" customWidth="1" style="918" min="6672" max="6912"/>
    <col width="33.125" customWidth="1" style="918" min="6913" max="6913"/>
    <col width="10.875" customWidth="1" style="918" min="6914" max="6914"/>
    <col width="11.25" customWidth="1" style="918" min="6915" max="6915"/>
    <col width="9" customWidth="1" style="918" min="6916" max="6916"/>
    <col width="10" customWidth="1" style="918" min="6917" max="6917"/>
    <col width="11.125" customWidth="1" style="918" min="6918" max="6918"/>
    <col width="9.625" customWidth="1" style="918" min="6919" max="6919"/>
    <col width="11.125" customWidth="1" style="918" min="6920" max="6920"/>
    <col width="9.75" customWidth="1" style="918" min="6921" max="6921"/>
    <col width="9.625" customWidth="1" style="918" min="6922" max="6922"/>
    <col width="11" customWidth="1" style="918" min="6923" max="6923"/>
    <col width="9.625" customWidth="1" style="918" min="6924" max="6924"/>
    <col width="11" customWidth="1" style="918" min="6925" max="6925"/>
    <col width="9.625" customWidth="1" style="918" min="6926" max="6926"/>
    <col width="11" customWidth="1" style="918" min="6927" max="6927"/>
    <col width="9" customWidth="1" style="918" min="6928" max="7168"/>
    <col width="33.125" customWidth="1" style="918" min="7169" max="7169"/>
    <col width="10.875" customWidth="1" style="918" min="7170" max="7170"/>
    <col width="11.25" customWidth="1" style="918" min="7171" max="7171"/>
    <col width="9" customWidth="1" style="918" min="7172" max="7172"/>
    <col width="10" customWidth="1" style="918" min="7173" max="7173"/>
    <col width="11.125" customWidth="1" style="918" min="7174" max="7174"/>
    <col width="9.625" customWidth="1" style="918" min="7175" max="7175"/>
    <col width="11.125" customWidth="1" style="918" min="7176" max="7176"/>
    <col width="9.75" customWidth="1" style="918" min="7177" max="7177"/>
    <col width="9.625" customWidth="1" style="918" min="7178" max="7178"/>
    <col width="11" customWidth="1" style="918" min="7179" max="7179"/>
    <col width="9.625" customWidth="1" style="918" min="7180" max="7180"/>
    <col width="11" customWidth="1" style="918" min="7181" max="7181"/>
    <col width="9.625" customWidth="1" style="918" min="7182" max="7182"/>
    <col width="11" customWidth="1" style="918" min="7183" max="7183"/>
    <col width="9" customWidth="1" style="918" min="7184" max="7424"/>
    <col width="33.125" customWidth="1" style="918" min="7425" max="7425"/>
    <col width="10.875" customWidth="1" style="918" min="7426" max="7426"/>
    <col width="11.25" customWidth="1" style="918" min="7427" max="7427"/>
    <col width="9" customWidth="1" style="918" min="7428" max="7428"/>
    <col width="10" customWidth="1" style="918" min="7429" max="7429"/>
    <col width="11.125" customWidth="1" style="918" min="7430" max="7430"/>
    <col width="9.625" customWidth="1" style="918" min="7431" max="7431"/>
    <col width="11.125" customWidth="1" style="918" min="7432" max="7432"/>
    <col width="9.75" customWidth="1" style="918" min="7433" max="7433"/>
    <col width="9.625" customWidth="1" style="918" min="7434" max="7434"/>
    <col width="11" customWidth="1" style="918" min="7435" max="7435"/>
    <col width="9.625" customWidth="1" style="918" min="7436" max="7436"/>
    <col width="11" customWidth="1" style="918" min="7437" max="7437"/>
    <col width="9.625" customWidth="1" style="918" min="7438" max="7438"/>
    <col width="11" customWidth="1" style="918" min="7439" max="7439"/>
    <col width="9" customWidth="1" style="918" min="7440" max="7680"/>
    <col width="33.125" customWidth="1" style="918" min="7681" max="7681"/>
    <col width="10.875" customWidth="1" style="918" min="7682" max="7682"/>
    <col width="11.25" customWidth="1" style="918" min="7683" max="7683"/>
    <col width="9" customWidth="1" style="918" min="7684" max="7684"/>
    <col width="10" customWidth="1" style="918" min="7685" max="7685"/>
    <col width="11.125" customWidth="1" style="918" min="7686" max="7686"/>
    <col width="9.625" customWidth="1" style="918" min="7687" max="7687"/>
    <col width="11.125" customWidth="1" style="918" min="7688" max="7688"/>
    <col width="9.75" customWidth="1" style="918" min="7689" max="7689"/>
    <col width="9.625" customWidth="1" style="918" min="7690" max="7690"/>
    <col width="11" customWidth="1" style="918" min="7691" max="7691"/>
    <col width="9.625" customWidth="1" style="918" min="7692" max="7692"/>
    <col width="11" customWidth="1" style="918" min="7693" max="7693"/>
    <col width="9.625" customWidth="1" style="918" min="7694" max="7694"/>
    <col width="11" customWidth="1" style="918" min="7695" max="7695"/>
    <col width="9" customWidth="1" style="918" min="7696" max="7936"/>
    <col width="33.125" customWidth="1" style="918" min="7937" max="7937"/>
    <col width="10.875" customWidth="1" style="918" min="7938" max="7938"/>
    <col width="11.25" customWidth="1" style="918" min="7939" max="7939"/>
    <col width="9" customWidth="1" style="918" min="7940" max="7940"/>
    <col width="10" customWidth="1" style="918" min="7941" max="7941"/>
    <col width="11.125" customWidth="1" style="918" min="7942" max="7942"/>
    <col width="9.625" customWidth="1" style="918" min="7943" max="7943"/>
    <col width="11.125" customWidth="1" style="918" min="7944" max="7944"/>
    <col width="9.75" customWidth="1" style="918" min="7945" max="7945"/>
    <col width="9.625" customWidth="1" style="918" min="7946" max="7946"/>
    <col width="11" customWidth="1" style="918" min="7947" max="7947"/>
    <col width="9.625" customWidth="1" style="918" min="7948" max="7948"/>
    <col width="11" customWidth="1" style="918" min="7949" max="7949"/>
    <col width="9.625" customWidth="1" style="918" min="7950" max="7950"/>
    <col width="11" customWidth="1" style="918" min="7951" max="7951"/>
    <col width="9" customWidth="1" style="918" min="7952" max="8192"/>
    <col width="33.125" customWidth="1" style="918" min="8193" max="8193"/>
    <col width="10.875" customWidth="1" style="918" min="8194" max="8194"/>
    <col width="11.25" customWidth="1" style="918" min="8195" max="8195"/>
    <col width="9" customWidth="1" style="918" min="8196" max="8196"/>
    <col width="10" customWidth="1" style="918" min="8197" max="8197"/>
    <col width="11.125" customWidth="1" style="918" min="8198" max="8198"/>
    <col width="9.625" customWidth="1" style="918" min="8199" max="8199"/>
    <col width="11.125" customWidth="1" style="918" min="8200" max="8200"/>
    <col width="9.75" customWidth="1" style="918" min="8201" max="8201"/>
    <col width="9.625" customWidth="1" style="918" min="8202" max="8202"/>
    <col width="11" customWidth="1" style="918" min="8203" max="8203"/>
    <col width="9.625" customWidth="1" style="918" min="8204" max="8204"/>
    <col width="11" customWidth="1" style="918" min="8205" max="8205"/>
    <col width="9.625" customWidth="1" style="918" min="8206" max="8206"/>
    <col width="11" customWidth="1" style="918" min="8207" max="8207"/>
    <col width="9" customWidth="1" style="918" min="8208" max="8448"/>
    <col width="33.125" customWidth="1" style="918" min="8449" max="8449"/>
    <col width="10.875" customWidth="1" style="918" min="8450" max="8450"/>
    <col width="11.25" customWidth="1" style="918" min="8451" max="8451"/>
    <col width="9" customWidth="1" style="918" min="8452" max="8452"/>
    <col width="10" customWidth="1" style="918" min="8453" max="8453"/>
    <col width="11.125" customWidth="1" style="918" min="8454" max="8454"/>
    <col width="9.625" customWidth="1" style="918" min="8455" max="8455"/>
    <col width="11.125" customWidth="1" style="918" min="8456" max="8456"/>
    <col width="9.75" customWidth="1" style="918" min="8457" max="8457"/>
    <col width="9.625" customWidth="1" style="918" min="8458" max="8458"/>
    <col width="11" customWidth="1" style="918" min="8459" max="8459"/>
    <col width="9.625" customWidth="1" style="918" min="8460" max="8460"/>
    <col width="11" customWidth="1" style="918" min="8461" max="8461"/>
    <col width="9.625" customWidth="1" style="918" min="8462" max="8462"/>
    <col width="11" customWidth="1" style="918" min="8463" max="8463"/>
    <col width="9" customWidth="1" style="918" min="8464" max="8704"/>
    <col width="33.125" customWidth="1" style="918" min="8705" max="8705"/>
    <col width="10.875" customWidth="1" style="918" min="8706" max="8706"/>
    <col width="11.25" customWidth="1" style="918" min="8707" max="8707"/>
    <col width="9" customWidth="1" style="918" min="8708" max="8708"/>
    <col width="10" customWidth="1" style="918" min="8709" max="8709"/>
    <col width="11.125" customWidth="1" style="918" min="8710" max="8710"/>
    <col width="9.625" customWidth="1" style="918" min="8711" max="8711"/>
    <col width="11.125" customWidth="1" style="918" min="8712" max="8712"/>
    <col width="9.75" customWidth="1" style="918" min="8713" max="8713"/>
    <col width="9.625" customWidth="1" style="918" min="8714" max="8714"/>
    <col width="11" customWidth="1" style="918" min="8715" max="8715"/>
    <col width="9.625" customWidth="1" style="918" min="8716" max="8716"/>
    <col width="11" customWidth="1" style="918" min="8717" max="8717"/>
    <col width="9.625" customWidth="1" style="918" min="8718" max="8718"/>
    <col width="11" customWidth="1" style="918" min="8719" max="8719"/>
    <col width="9" customWidth="1" style="918" min="8720" max="8960"/>
    <col width="33.125" customWidth="1" style="918" min="8961" max="8961"/>
    <col width="10.875" customWidth="1" style="918" min="8962" max="8962"/>
    <col width="11.25" customWidth="1" style="918" min="8963" max="8963"/>
    <col width="9" customWidth="1" style="918" min="8964" max="8964"/>
    <col width="10" customWidth="1" style="918" min="8965" max="8965"/>
    <col width="11.125" customWidth="1" style="918" min="8966" max="8966"/>
    <col width="9.625" customWidth="1" style="918" min="8967" max="8967"/>
    <col width="11.125" customWidth="1" style="918" min="8968" max="8968"/>
    <col width="9.75" customWidth="1" style="918" min="8969" max="8969"/>
    <col width="9.625" customWidth="1" style="918" min="8970" max="8970"/>
    <col width="11" customWidth="1" style="918" min="8971" max="8971"/>
    <col width="9.625" customWidth="1" style="918" min="8972" max="8972"/>
    <col width="11" customWidth="1" style="918" min="8973" max="8973"/>
    <col width="9.625" customWidth="1" style="918" min="8974" max="8974"/>
    <col width="11" customWidth="1" style="918" min="8975" max="8975"/>
    <col width="9" customWidth="1" style="918" min="8976" max="9216"/>
    <col width="33.125" customWidth="1" style="918" min="9217" max="9217"/>
    <col width="10.875" customWidth="1" style="918" min="9218" max="9218"/>
    <col width="11.25" customWidth="1" style="918" min="9219" max="9219"/>
    <col width="9" customWidth="1" style="918" min="9220" max="9220"/>
    <col width="10" customWidth="1" style="918" min="9221" max="9221"/>
    <col width="11.125" customWidth="1" style="918" min="9222" max="9222"/>
    <col width="9.625" customWidth="1" style="918" min="9223" max="9223"/>
    <col width="11.125" customWidth="1" style="918" min="9224" max="9224"/>
    <col width="9.75" customWidth="1" style="918" min="9225" max="9225"/>
    <col width="9.625" customWidth="1" style="918" min="9226" max="9226"/>
    <col width="11" customWidth="1" style="918" min="9227" max="9227"/>
    <col width="9.625" customWidth="1" style="918" min="9228" max="9228"/>
    <col width="11" customWidth="1" style="918" min="9229" max="9229"/>
    <col width="9.625" customWidth="1" style="918" min="9230" max="9230"/>
    <col width="11" customWidth="1" style="918" min="9231" max="9231"/>
    <col width="9" customWidth="1" style="918" min="9232" max="9472"/>
    <col width="33.125" customWidth="1" style="918" min="9473" max="9473"/>
    <col width="10.875" customWidth="1" style="918" min="9474" max="9474"/>
    <col width="11.25" customWidth="1" style="918" min="9475" max="9475"/>
    <col width="9" customWidth="1" style="918" min="9476" max="9476"/>
    <col width="10" customWidth="1" style="918" min="9477" max="9477"/>
    <col width="11.125" customWidth="1" style="918" min="9478" max="9478"/>
    <col width="9.625" customWidth="1" style="918" min="9479" max="9479"/>
    <col width="11.125" customWidth="1" style="918" min="9480" max="9480"/>
    <col width="9.75" customWidth="1" style="918" min="9481" max="9481"/>
    <col width="9.625" customWidth="1" style="918" min="9482" max="9482"/>
    <col width="11" customWidth="1" style="918" min="9483" max="9483"/>
    <col width="9.625" customWidth="1" style="918" min="9484" max="9484"/>
    <col width="11" customWidth="1" style="918" min="9485" max="9485"/>
    <col width="9.625" customWidth="1" style="918" min="9486" max="9486"/>
    <col width="11" customWidth="1" style="918" min="9487" max="9487"/>
    <col width="9" customWidth="1" style="918" min="9488" max="9728"/>
    <col width="33.125" customWidth="1" style="918" min="9729" max="9729"/>
    <col width="10.875" customWidth="1" style="918" min="9730" max="9730"/>
    <col width="11.25" customWidth="1" style="918" min="9731" max="9731"/>
    <col width="9" customWidth="1" style="918" min="9732" max="9732"/>
    <col width="10" customWidth="1" style="918" min="9733" max="9733"/>
    <col width="11.125" customWidth="1" style="918" min="9734" max="9734"/>
    <col width="9.625" customWidth="1" style="918" min="9735" max="9735"/>
    <col width="11.125" customWidth="1" style="918" min="9736" max="9736"/>
    <col width="9.75" customWidth="1" style="918" min="9737" max="9737"/>
    <col width="9.625" customWidth="1" style="918" min="9738" max="9738"/>
    <col width="11" customWidth="1" style="918" min="9739" max="9739"/>
    <col width="9.625" customWidth="1" style="918" min="9740" max="9740"/>
    <col width="11" customWidth="1" style="918" min="9741" max="9741"/>
    <col width="9.625" customWidth="1" style="918" min="9742" max="9742"/>
    <col width="11" customWidth="1" style="918" min="9743" max="9743"/>
    <col width="9" customWidth="1" style="918" min="9744" max="9984"/>
    <col width="33.125" customWidth="1" style="918" min="9985" max="9985"/>
    <col width="10.875" customWidth="1" style="918" min="9986" max="9986"/>
    <col width="11.25" customWidth="1" style="918" min="9987" max="9987"/>
    <col width="9" customWidth="1" style="918" min="9988" max="9988"/>
    <col width="10" customWidth="1" style="918" min="9989" max="9989"/>
    <col width="11.125" customWidth="1" style="918" min="9990" max="9990"/>
    <col width="9.625" customWidth="1" style="918" min="9991" max="9991"/>
    <col width="11.125" customWidth="1" style="918" min="9992" max="9992"/>
    <col width="9.75" customWidth="1" style="918" min="9993" max="9993"/>
    <col width="9.625" customWidth="1" style="918" min="9994" max="9994"/>
    <col width="11" customWidth="1" style="918" min="9995" max="9995"/>
    <col width="9.625" customWidth="1" style="918" min="9996" max="9996"/>
    <col width="11" customWidth="1" style="918" min="9997" max="9997"/>
    <col width="9.625" customWidth="1" style="918" min="9998" max="9998"/>
    <col width="11" customWidth="1" style="918" min="9999" max="9999"/>
    <col width="9" customWidth="1" style="918" min="10000" max="10240"/>
    <col width="33.125" customWidth="1" style="918" min="10241" max="10241"/>
    <col width="10.875" customWidth="1" style="918" min="10242" max="10242"/>
    <col width="11.25" customWidth="1" style="918" min="10243" max="10243"/>
    <col width="9" customWidth="1" style="918" min="10244" max="10244"/>
    <col width="10" customWidth="1" style="918" min="10245" max="10245"/>
    <col width="11.125" customWidth="1" style="918" min="10246" max="10246"/>
    <col width="9.625" customWidth="1" style="918" min="10247" max="10247"/>
    <col width="11.125" customWidth="1" style="918" min="10248" max="10248"/>
    <col width="9.75" customWidth="1" style="918" min="10249" max="10249"/>
    <col width="9.625" customWidth="1" style="918" min="10250" max="10250"/>
    <col width="11" customWidth="1" style="918" min="10251" max="10251"/>
    <col width="9.625" customWidth="1" style="918" min="10252" max="10252"/>
    <col width="11" customWidth="1" style="918" min="10253" max="10253"/>
    <col width="9.625" customWidth="1" style="918" min="10254" max="10254"/>
    <col width="11" customWidth="1" style="918" min="10255" max="10255"/>
    <col width="9" customWidth="1" style="918" min="10256" max="10496"/>
    <col width="33.125" customWidth="1" style="918" min="10497" max="10497"/>
    <col width="10.875" customWidth="1" style="918" min="10498" max="10498"/>
    <col width="11.25" customWidth="1" style="918" min="10499" max="10499"/>
    <col width="9" customWidth="1" style="918" min="10500" max="10500"/>
    <col width="10" customWidth="1" style="918" min="10501" max="10501"/>
    <col width="11.125" customWidth="1" style="918" min="10502" max="10502"/>
    <col width="9.625" customWidth="1" style="918" min="10503" max="10503"/>
    <col width="11.125" customWidth="1" style="918" min="10504" max="10504"/>
    <col width="9.75" customWidth="1" style="918" min="10505" max="10505"/>
    <col width="9.625" customWidth="1" style="918" min="10506" max="10506"/>
    <col width="11" customWidth="1" style="918" min="10507" max="10507"/>
    <col width="9.625" customWidth="1" style="918" min="10508" max="10508"/>
    <col width="11" customWidth="1" style="918" min="10509" max="10509"/>
    <col width="9.625" customWidth="1" style="918" min="10510" max="10510"/>
    <col width="11" customWidth="1" style="918" min="10511" max="10511"/>
    <col width="9" customWidth="1" style="918" min="10512" max="10752"/>
    <col width="33.125" customWidth="1" style="918" min="10753" max="10753"/>
    <col width="10.875" customWidth="1" style="918" min="10754" max="10754"/>
    <col width="11.25" customWidth="1" style="918" min="10755" max="10755"/>
    <col width="9" customWidth="1" style="918" min="10756" max="10756"/>
    <col width="10" customWidth="1" style="918" min="10757" max="10757"/>
    <col width="11.125" customWidth="1" style="918" min="10758" max="10758"/>
    <col width="9.625" customWidth="1" style="918" min="10759" max="10759"/>
    <col width="11.125" customWidth="1" style="918" min="10760" max="10760"/>
    <col width="9.75" customWidth="1" style="918" min="10761" max="10761"/>
    <col width="9.625" customWidth="1" style="918" min="10762" max="10762"/>
    <col width="11" customWidth="1" style="918" min="10763" max="10763"/>
    <col width="9.625" customWidth="1" style="918" min="10764" max="10764"/>
    <col width="11" customWidth="1" style="918" min="10765" max="10765"/>
    <col width="9.625" customWidth="1" style="918" min="10766" max="10766"/>
    <col width="11" customWidth="1" style="918" min="10767" max="10767"/>
    <col width="9" customWidth="1" style="918" min="10768" max="11008"/>
    <col width="33.125" customWidth="1" style="918" min="11009" max="11009"/>
    <col width="10.875" customWidth="1" style="918" min="11010" max="11010"/>
    <col width="11.25" customWidth="1" style="918" min="11011" max="11011"/>
    <col width="9" customWidth="1" style="918" min="11012" max="11012"/>
    <col width="10" customWidth="1" style="918" min="11013" max="11013"/>
    <col width="11.125" customWidth="1" style="918" min="11014" max="11014"/>
    <col width="9.625" customWidth="1" style="918" min="11015" max="11015"/>
    <col width="11.125" customWidth="1" style="918" min="11016" max="11016"/>
    <col width="9.75" customWidth="1" style="918" min="11017" max="11017"/>
    <col width="9.625" customWidth="1" style="918" min="11018" max="11018"/>
    <col width="11" customWidth="1" style="918" min="11019" max="11019"/>
    <col width="9.625" customWidth="1" style="918" min="11020" max="11020"/>
    <col width="11" customWidth="1" style="918" min="11021" max="11021"/>
    <col width="9.625" customWidth="1" style="918" min="11022" max="11022"/>
    <col width="11" customWidth="1" style="918" min="11023" max="11023"/>
    <col width="9" customWidth="1" style="918" min="11024" max="11264"/>
    <col width="33.125" customWidth="1" style="918" min="11265" max="11265"/>
    <col width="10.875" customWidth="1" style="918" min="11266" max="11266"/>
    <col width="11.25" customWidth="1" style="918" min="11267" max="11267"/>
    <col width="9" customWidth="1" style="918" min="11268" max="11268"/>
    <col width="10" customWidth="1" style="918" min="11269" max="11269"/>
    <col width="11.125" customWidth="1" style="918" min="11270" max="11270"/>
    <col width="9.625" customWidth="1" style="918" min="11271" max="11271"/>
    <col width="11.125" customWidth="1" style="918" min="11272" max="11272"/>
    <col width="9.75" customWidth="1" style="918" min="11273" max="11273"/>
    <col width="9.625" customWidth="1" style="918" min="11274" max="11274"/>
    <col width="11" customWidth="1" style="918" min="11275" max="11275"/>
    <col width="9.625" customWidth="1" style="918" min="11276" max="11276"/>
    <col width="11" customWidth="1" style="918" min="11277" max="11277"/>
    <col width="9.625" customWidth="1" style="918" min="11278" max="11278"/>
    <col width="11" customWidth="1" style="918" min="11279" max="11279"/>
    <col width="9" customWidth="1" style="918" min="11280" max="11520"/>
    <col width="33.125" customWidth="1" style="918" min="11521" max="11521"/>
    <col width="10.875" customWidth="1" style="918" min="11522" max="11522"/>
    <col width="11.25" customWidth="1" style="918" min="11523" max="11523"/>
    <col width="9" customWidth="1" style="918" min="11524" max="11524"/>
    <col width="10" customWidth="1" style="918" min="11525" max="11525"/>
    <col width="11.125" customWidth="1" style="918" min="11526" max="11526"/>
    <col width="9.625" customWidth="1" style="918" min="11527" max="11527"/>
    <col width="11.125" customWidth="1" style="918" min="11528" max="11528"/>
    <col width="9.75" customWidth="1" style="918" min="11529" max="11529"/>
    <col width="9.625" customWidth="1" style="918" min="11530" max="11530"/>
    <col width="11" customWidth="1" style="918" min="11531" max="11531"/>
    <col width="9.625" customWidth="1" style="918" min="11532" max="11532"/>
    <col width="11" customWidth="1" style="918" min="11533" max="11533"/>
    <col width="9.625" customWidth="1" style="918" min="11534" max="11534"/>
    <col width="11" customWidth="1" style="918" min="11535" max="11535"/>
    <col width="9" customWidth="1" style="918" min="11536" max="11776"/>
    <col width="33.125" customWidth="1" style="918" min="11777" max="11777"/>
    <col width="10.875" customWidth="1" style="918" min="11778" max="11778"/>
    <col width="11.25" customWidth="1" style="918" min="11779" max="11779"/>
    <col width="9" customWidth="1" style="918" min="11780" max="11780"/>
    <col width="10" customWidth="1" style="918" min="11781" max="11781"/>
    <col width="11.125" customWidth="1" style="918" min="11782" max="11782"/>
    <col width="9.625" customWidth="1" style="918" min="11783" max="11783"/>
    <col width="11.125" customWidth="1" style="918" min="11784" max="11784"/>
    <col width="9.75" customWidth="1" style="918" min="11785" max="11785"/>
    <col width="9.625" customWidth="1" style="918" min="11786" max="11786"/>
    <col width="11" customWidth="1" style="918" min="11787" max="11787"/>
    <col width="9.625" customWidth="1" style="918" min="11788" max="11788"/>
    <col width="11" customWidth="1" style="918" min="11789" max="11789"/>
    <col width="9.625" customWidth="1" style="918" min="11790" max="11790"/>
    <col width="11" customWidth="1" style="918" min="11791" max="11791"/>
    <col width="9" customWidth="1" style="918" min="11792" max="12032"/>
    <col width="33.125" customWidth="1" style="918" min="12033" max="12033"/>
    <col width="10.875" customWidth="1" style="918" min="12034" max="12034"/>
    <col width="11.25" customWidth="1" style="918" min="12035" max="12035"/>
    <col width="9" customWidth="1" style="918" min="12036" max="12036"/>
    <col width="10" customWidth="1" style="918" min="12037" max="12037"/>
    <col width="11.125" customWidth="1" style="918" min="12038" max="12038"/>
    <col width="9.625" customWidth="1" style="918" min="12039" max="12039"/>
    <col width="11.125" customWidth="1" style="918" min="12040" max="12040"/>
    <col width="9.75" customWidth="1" style="918" min="12041" max="12041"/>
    <col width="9.625" customWidth="1" style="918" min="12042" max="12042"/>
    <col width="11" customWidth="1" style="918" min="12043" max="12043"/>
    <col width="9.625" customWidth="1" style="918" min="12044" max="12044"/>
    <col width="11" customWidth="1" style="918" min="12045" max="12045"/>
    <col width="9.625" customWidth="1" style="918" min="12046" max="12046"/>
    <col width="11" customWidth="1" style="918" min="12047" max="12047"/>
    <col width="9" customWidth="1" style="918" min="12048" max="12288"/>
    <col width="33.125" customWidth="1" style="918" min="12289" max="12289"/>
    <col width="10.875" customWidth="1" style="918" min="12290" max="12290"/>
    <col width="11.25" customWidth="1" style="918" min="12291" max="12291"/>
    <col width="9" customWidth="1" style="918" min="12292" max="12292"/>
    <col width="10" customWidth="1" style="918" min="12293" max="12293"/>
    <col width="11.125" customWidth="1" style="918" min="12294" max="12294"/>
    <col width="9.625" customWidth="1" style="918" min="12295" max="12295"/>
    <col width="11.125" customWidth="1" style="918" min="12296" max="12296"/>
    <col width="9.75" customWidth="1" style="918" min="12297" max="12297"/>
    <col width="9.625" customWidth="1" style="918" min="12298" max="12298"/>
    <col width="11" customWidth="1" style="918" min="12299" max="12299"/>
    <col width="9.625" customWidth="1" style="918" min="12300" max="12300"/>
    <col width="11" customWidth="1" style="918" min="12301" max="12301"/>
    <col width="9.625" customWidth="1" style="918" min="12302" max="12302"/>
    <col width="11" customWidth="1" style="918" min="12303" max="12303"/>
    <col width="9" customWidth="1" style="918" min="12304" max="12544"/>
    <col width="33.125" customWidth="1" style="918" min="12545" max="12545"/>
    <col width="10.875" customWidth="1" style="918" min="12546" max="12546"/>
    <col width="11.25" customWidth="1" style="918" min="12547" max="12547"/>
    <col width="9" customWidth="1" style="918" min="12548" max="12548"/>
    <col width="10" customWidth="1" style="918" min="12549" max="12549"/>
    <col width="11.125" customWidth="1" style="918" min="12550" max="12550"/>
    <col width="9.625" customWidth="1" style="918" min="12551" max="12551"/>
    <col width="11.125" customWidth="1" style="918" min="12552" max="12552"/>
    <col width="9.75" customWidth="1" style="918" min="12553" max="12553"/>
    <col width="9.625" customWidth="1" style="918" min="12554" max="12554"/>
    <col width="11" customWidth="1" style="918" min="12555" max="12555"/>
    <col width="9.625" customWidth="1" style="918" min="12556" max="12556"/>
    <col width="11" customWidth="1" style="918" min="12557" max="12557"/>
    <col width="9.625" customWidth="1" style="918" min="12558" max="12558"/>
    <col width="11" customWidth="1" style="918" min="12559" max="12559"/>
    <col width="9" customWidth="1" style="918" min="12560" max="12800"/>
    <col width="33.125" customWidth="1" style="918" min="12801" max="12801"/>
    <col width="10.875" customWidth="1" style="918" min="12802" max="12802"/>
    <col width="11.25" customWidth="1" style="918" min="12803" max="12803"/>
    <col width="9" customWidth="1" style="918" min="12804" max="12804"/>
    <col width="10" customWidth="1" style="918" min="12805" max="12805"/>
    <col width="11.125" customWidth="1" style="918" min="12806" max="12806"/>
    <col width="9.625" customWidth="1" style="918" min="12807" max="12807"/>
    <col width="11.125" customWidth="1" style="918" min="12808" max="12808"/>
    <col width="9.75" customWidth="1" style="918" min="12809" max="12809"/>
    <col width="9.625" customWidth="1" style="918" min="12810" max="12810"/>
    <col width="11" customWidth="1" style="918" min="12811" max="12811"/>
    <col width="9.625" customWidth="1" style="918" min="12812" max="12812"/>
    <col width="11" customWidth="1" style="918" min="12813" max="12813"/>
    <col width="9.625" customWidth="1" style="918" min="12814" max="12814"/>
    <col width="11" customWidth="1" style="918" min="12815" max="12815"/>
    <col width="9" customWidth="1" style="918" min="12816" max="13056"/>
    <col width="33.125" customWidth="1" style="918" min="13057" max="13057"/>
    <col width="10.875" customWidth="1" style="918" min="13058" max="13058"/>
    <col width="11.25" customWidth="1" style="918" min="13059" max="13059"/>
    <col width="9" customWidth="1" style="918" min="13060" max="13060"/>
    <col width="10" customWidth="1" style="918" min="13061" max="13061"/>
    <col width="11.125" customWidth="1" style="918" min="13062" max="13062"/>
    <col width="9.625" customWidth="1" style="918" min="13063" max="13063"/>
    <col width="11.125" customWidth="1" style="918" min="13064" max="13064"/>
    <col width="9.75" customWidth="1" style="918" min="13065" max="13065"/>
    <col width="9.625" customWidth="1" style="918" min="13066" max="13066"/>
    <col width="11" customWidth="1" style="918" min="13067" max="13067"/>
    <col width="9.625" customWidth="1" style="918" min="13068" max="13068"/>
    <col width="11" customWidth="1" style="918" min="13069" max="13069"/>
    <col width="9.625" customWidth="1" style="918" min="13070" max="13070"/>
    <col width="11" customWidth="1" style="918" min="13071" max="13071"/>
    <col width="9" customWidth="1" style="918" min="13072" max="13312"/>
    <col width="33.125" customWidth="1" style="918" min="13313" max="13313"/>
    <col width="10.875" customWidth="1" style="918" min="13314" max="13314"/>
    <col width="11.25" customWidth="1" style="918" min="13315" max="13315"/>
    <col width="9" customWidth="1" style="918" min="13316" max="13316"/>
    <col width="10" customWidth="1" style="918" min="13317" max="13317"/>
    <col width="11.125" customWidth="1" style="918" min="13318" max="13318"/>
    <col width="9.625" customWidth="1" style="918" min="13319" max="13319"/>
    <col width="11.125" customWidth="1" style="918" min="13320" max="13320"/>
    <col width="9.75" customWidth="1" style="918" min="13321" max="13321"/>
    <col width="9.625" customWidth="1" style="918" min="13322" max="13322"/>
    <col width="11" customWidth="1" style="918" min="13323" max="13323"/>
    <col width="9.625" customWidth="1" style="918" min="13324" max="13324"/>
    <col width="11" customWidth="1" style="918" min="13325" max="13325"/>
    <col width="9.625" customWidth="1" style="918" min="13326" max="13326"/>
    <col width="11" customWidth="1" style="918" min="13327" max="13327"/>
    <col width="9" customWidth="1" style="918" min="13328" max="13568"/>
    <col width="33.125" customWidth="1" style="918" min="13569" max="13569"/>
    <col width="10.875" customWidth="1" style="918" min="13570" max="13570"/>
    <col width="11.25" customWidth="1" style="918" min="13571" max="13571"/>
    <col width="9" customWidth="1" style="918" min="13572" max="13572"/>
    <col width="10" customWidth="1" style="918" min="13573" max="13573"/>
    <col width="11.125" customWidth="1" style="918" min="13574" max="13574"/>
    <col width="9.625" customWidth="1" style="918" min="13575" max="13575"/>
    <col width="11.125" customWidth="1" style="918" min="13576" max="13576"/>
    <col width="9.75" customWidth="1" style="918" min="13577" max="13577"/>
    <col width="9.625" customWidth="1" style="918" min="13578" max="13578"/>
    <col width="11" customWidth="1" style="918" min="13579" max="13579"/>
    <col width="9.625" customWidth="1" style="918" min="13580" max="13580"/>
    <col width="11" customWidth="1" style="918" min="13581" max="13581"/>
    <col width="9.625" customWidth="1" style="918" min="13582" max="13582"/>
    <col width="11" customWidth="1" style="918" min="13583" max="13583"/>
    <col width="9" customWidth="1" style="918" min="13584" max="13824"/>
    <col width="33.125" customWidth="1" style="918" min="13825" max="13825"/>
    <col width="10.875" customWidth="1" style="918" min="13826" max="13826"/>
    <col width="11.25" customWidth="1" style="918" min="13827" max="13827"/>
    <col width="9" customWidth="1" style="918" min="13828" max="13828"/>
    <col width="10" customWidth="1" style="918" min="13829" max="13829"/>
    <col width="11.125" customWidth="1" style="918" min="13830" max="13830"/>
    <col width="9.625" customWidth="1" style="918" min="13831" max="13831"/>
    <col width="11.125" customWidth="1" style="918" min="13832" max="13832"/>
    <col width="9.75" customWidth="1" style="918" min="13833" max="13833"/>
    <col width="9.625" customWidth="1" style="918" min="13834" max="13834"/>
    <col width="11" customWidth="1" style="918" min="13835" max="13835"/>
    <col width="9.625" customWidth="1" style="918" min="13836" max="13836"/>
    <col width="11" customWidth="1" style="918" min="13837" max="13837"/>
    <col width="9.625" customWidth="1" style="918" min="13838" max="13838"/>
    <col width="11" customWidth="1" style="918" min="13839" max="13839"/>
    <col width="9" customWidth="1" style="918" min="13840" max="14080"/>
    <col width="33.125" customWidth="1" style="918" min="14081" max="14081"/>
    <col width="10.875" customWidth="1" style="918" min="14082" max="14082"/>
    <col width="11.25" customWidth="1" style="918" min="14083" max="14083"/>
    <col width="9" customWidth="1" style="918" min="14084" max="14084"/>
    <col width="10" customWidth="1" style="918" min="14085" max="14085"/>
    <col width="11.125" customWidth="1" style="918" min="14086" max="14086"/>
    <col width="9.625" customWidth="1" style="918" min="14087" max="14087"/>
    <col width="11.125" customWidth="1" style="918" min="14088" max="14088"/>
    <col width="9.75" customWidth="1" style="918" min="14089" max="14089"/>
    <col width="9.625" customWidth="1" style="918" min="14090" max="14090"/>
    <col width="11" customWidth="1" style="918" min="14091" max="14091"/>
    <col width="9.625" customWidth="1" style="918" min="14092" max="14092"/>
    <col width="11" customWidth="1" style="918" min="14093" max="14093"/>
    <col width="9.625" customWidth="1" style="918" min="14094" max="14094"/>
    <col width="11" customWidth="1" style="918" min="14095" max="14095"/>
    <col width="9" customWidth="1" style="918" min="14096" max="14336"/>
    <col width="33.125" customWidth="1" style="918" min="14337" max="14337"/>
    <col width="10.875" customWidth="1" style="918" min="14338" max="14338"/>
    <col width="11.25" customWidth="1" style="918" min="14339" max="14339"/>
    <col width="9" customWidth="1" style="918" min="14340" max="14340"/>
    <col width="10" customWidth="1" style="918" min="14341" max="14341"/>
    <col width="11.125" customWidth="1" style="918" min="14342" max="14342"/>
    <col width="9.625" customWidth="1" style="918" min="14343" max="14343"/>
    <col width="11.125" customWidth="1" style="918" min="14344" max="14344"/>
    <col width="9.75" customWidth="1" style="918" min="14345" max="14345"/>
    <col width="9.625" customWidth="1" style="918" min="14346" max="14346"/>
    <col width="11" customWidth="1" style="918" min="14347" max="14347"/>
    <col width="9.625" customWidth="1" style="918" min="14348" max="14348"/>
    <col width="11" customWidth="1" style="918" min="14349" max="14349"/>
    <col width="9.625" customWidth="1" style="918" min="14350" max="14350"/>
    <col width="11" customWidth="1" style="918" min="14351" max="14351"/>
    <col width="9" customWidth="1" style="918" min="14352" max="14592"/>
    <col width="33.125" customWidth="1" style="918" min="14593" max="14593"/>
    <col width="10.875" customWidth="1" style="918" min="14594" max="14594"/>
    <col width="11.25" customWidth="1" style="918" min="14595" max="14595"/>
    <col width="9" customWidth="1" style="918" min="14596" max="14596"/>
    <col width="10" customWidth="1" style="918" min="14597" max="14597"/>
    <col width="11.125" customWidth="1" style="918" min="14598" max="14598"/>
    <col width="9.625" customWidth="1" style="918" min="14599" max="14599"/>
    <col width="11.125" customWidth="1" style="918" min="14600" max="14600"/>
    <col width="9.75" customWidth="1" style="918" min="14601" max="14601"/>
    <col width="9.625" customWidth="1" style="918" min="14602" max="14602"/>
    <col width="11" customWidth="1" style="918" min="14603" max="14603"/>
    <col width="9.625" customWidth="1" style="918" min="14604" max="14604"/>
    <col width="11" customWidth="1" style="918" min="14605" max="14605"/>
    <col width="9.625" customWidth="1" style="918" min="14606" max="14606"/>
    <col width="11" customWidth="1" style="918" min="14607" max="14607"/>
    <col width="9" customWidth="1" style="918" min="14608" max="14848"/>
    <col width="33.125" customWidth="1" style="918" min="14849" max="14849"/>
    <col width="10.875" customWidth="1" style="918" min="14850" max="14850"/>
    <col width="11.25" customWidth="1" style="918" min="14851" max="14851"/>
    <col width="9" customWidth="1" style="918" min="14852" max="14852"/>
    <col width="10" customWidth="1" style="918" min="14853" max="14853"/>
    <col width="11.125" customWidth="1" style="918" min="14854" max="14854"/>
    <col width="9.625" customWidth="1" style="918" min="14855" max="14855"/>
    <col width="11.125" customWidth="1" style="918" min="14856" max="14856"/>
    <col width="9.75" customWidth="1" style="918" min="14857" max="14857"/>
    <col width="9.625" customWidth="1" style="918" min="14858" max="14858"/>
    <col width="11" customWidth="1" style="918" min="14859" max="14859"/>
    <col width="9.625" customWidth="1" style="918" min="14860" max="14860"/>
    <col width="11" customWidth="1" style="918" min="14861" max="14861"/>
    <col width="9.625" customWidth="1" style="918" min="14862" max="14862"/>
    <col width="11" customWidth="1" style="918" min="14863" max="14863"/>
    <col width="9" customWidth="1" style="918" min="14864" max="15104"/>
    <col width="33.125" customWidth="1" style="918" min="15105" max="15105"/>
    <col width="10.875" customWidth="1" style="918" min="15106" max="15106"/>
    <col width="11.25" customWidth="1" style="918" min="15107" max="15107"/>
    <col width="9" customWidth="1" style="918" min="15108" max="15108"/>
    <col width="10" customWidth="1" style="918" min="15109" max="15109"/>
    <col width="11.125" customWidth="1" style="918" min="15110" max="15110"/>
    <col width="9.625" customWidth="1" style="918" min="15111" max="15111"/>
    <col width="11.125" customWidth="1" style="918" min="15112" max="15112"/>
    <col width="9.75" customWidth="1" style="918" min="15113" max="15113"/>
    <col width="9.625" customWidth="1" style="918" min="15114" max="15114"/>
    <col width="11" customWidth="1" style="918" min="15115" max="15115"/>
    <col width="9.625" customWidth="1" style="918" min="15116" max="15116"/>
    <col width="11" customWidth="1" style="918" min="15117" max="15117"/>
    <col width="9.625" customWidth="1" style="918" min="15118" max="15118"/>
    <col width="11" customWidth="1" style="918" min="15119" max="15119"/>
    <col width="9" customWidth="1" style="918" min="15120" max="15360"/>
    <col width="33.125" customWidth="1" style="918" min="15361" max="15361"/>
    <col width="10.875" customWidth="1" style="918" min="15362" max="15362"/>
    <col width="11.25" customWidth="1" style="918" min="15363" max="15363"/>
    <col width="9" customWidth="1" style="918" min="15364" max="15364"/>
    <col width="10" customWidth="1" style="918" min="15365" max="15365"/>
    <col width="11.125" customWidth="1" style="918" min="15366" max="15366"/>
    <col width="9.625" customWidth="1" style="918" min="15367" max="15367"/>
    <col width="11.125" customWidth="1" style="918" min="15368" max="15368"/>
    <col width="9.75" customWidth="1" style="918" min="15369" max="15369"/>
    <col width="9.625" customWidth="1" style="918" min="15370" max="15370"/>
    <col width="11" customWidth="1" style="918" min="15371" max="15371"/>
    <col width="9.625" customWidth="1" style="918" min="15372" max="15372"/>
    <col width="11" customWidth="1" style="918" min="15373" max="15373"/>
    <col width="9.625" customWidth="1" style="918" min="15374" max="15374"/>
    <col width="11" customWidth="1" style="918" min="15375" max="15375"/>
    <col width="9" customWidth="1" style="918" min="15376" max="15616"/>
    <col width="33.125" customWidth="1" style="918" min="15617" max="15617"/>
    <col width="10.875" customWidth="1" style="918" min="15618" max="15618"/>
    <col width="11.25" customWidth="1" style="918" min="15619" max="15619"/>
    <col width="9" customWidth="1" style="918" min="15620" max="15620"/>
    <col width="10" customWidth="1" style="918" min="15621" max="15621"/>
    <col width="11.125" customWidth="1" style="918" min="15622" max="15622"/>
    <col width="9.625" customWidth="1" style="918" min="15623" max="15623"/>
    <col width="11.125" customWidth="1" style="918" min="15624" max="15624"/>
    <col width="9.75" customWidth="1" style="918" min="15625" max="15625"/>
    <col width="9.625" customWidth="1" style="918" min="15626" max="15626"/>
    <col width="11" customWidth="1" style="918" min="15627" max="15627"/>
    <col width="9.625" customWidth="1" style="918" min="15628" max="15628"/>
    <col width="11" customWidth="1" style="918" min="15629" max="15629"/>
    <col width="9.625" customWidth="1" style="918" min="15630" max="15630"/>
    <col width="11" customWidth="1" style="918" min="15631" max="15631"/>
    <col width="9" customWidth="1" style="918" min="15632" max="15872"/>
    <col width="33.125" customWidth="1" style="918" min="15873" max="15873"/>
    <col width="10.875" customWidth="1" style="918" min="15874" max="15874"/>
    <col width="11.25" customWidth="1" style="918" min="15875" max="15875"/>
    <col width="9" customWidth="1" style="918" min="15876" max="15876"/>
    <col width="10" customWidth="1" style="918" min="15877" max="15877"/>
    <col width="11.125" customWidth="1" style="918" min="15878" max="15878"/>
    <col width="9.625" customWidth="1" style="918" min="15879" max="15879"/>
    <col width="11.125" customWidth="1" style="918" min="15880" max="15880"/>
    <col width="9.75" customWidth="1" style="918" min="15881" max="15881"/>
    <col width="9.625" customWidth="1" style="918" min="15882" max="15882"/>
    <col width="11" customWidth="1" style="918" min="15883" max="15883"/>
    <col width="9.625" customWidth="1" style="918" min="15884" max="15884"/>
    <col width="11" customWidth="1" style="918" min="15885" max="15885"/>
    <col width="9.625" customWidth="1" style="918" min="15886" max="15886"/>
    <col width="11" customWidth="1" style="918" min="15887" max="15887"/>
    <col width="9" customWidth="1" style="918" min="15888" max="16128"/>
    <col width="33.125" customWidth="1" style="918" min="16129" max="16129"/>
    <col width="10.875" customWidth="1" style="918" min="16130" max="16130"/>
    <col width="11.25" customWidth="1" style="918" min="16131" max="16131"/>
    <col width="9" customWidth="1" style="918" min="16132" max="16132"/>
    <col width="10" customWidth="1" style="918" min="16133" max="16133"/>
    <col width="11.125" customWidth="1" style="918" min="16134" max="16134"/>
    <col width="9.625" customWidth="1" style="918" min="16135" max="16135"/>
    <col width="11.125" customWidth="1" style="918" min="16136" max="16136"/>
    <col width="9.75" customWidth="1" style="918" min="16137" max="16137"/>
    <col width="9.625" customWidth="1" style="918" min="16138" max="16138"/>
    <col width="11" customWidth="1" style="918" min="16139" max="16139"/>
    <col width="9.625" customWidth="1" style="918" min="16140" max="16140"/>
    <col width="11" customWidth="1" style="918" min="16141" max="16141"/>
    <col width="9.625" customWidth="1" style="918" min="16142" max="16142"/>
    <col width="11" customWidth="1" style="918" min="16143" max="16143"/>
    <col width="9" customWidth="1" style="918" min="16144" max="16384"/>
  </cols>
  <sheetData>
    <row r="1" ht="15" customFormat="1" customHeight="1" s="919">
      <c r="A1" s="920" t="inlineStr">
        <is>
          <t>Land "As Is"</t>
        </is>
      </c>
      <c r="B1" s="921" t="inlineStr">
        <is>
          <t>Subject</t>
        </is>
      </c>
      <c r="C1" s="921" t="n"/>
      <c r="D1" s="921" t="inlineStr">
        <is>
          <t>Comp No. 1</t>
        </is>
      </c>
      <c r="E1" s="921" t="n"/>
      <c r="F1" s="921" t="inlineStr">
        <is>
          <t>Comp No. 2</t>
        </is>
      </c>
      <c r="G1" s="921" t="n"/>
      <c r="H1" s="921" t="inlineStr">
        <is>
          <t>Comp No. 3</t>
        </is>
      </c>
      <c r="I1" s="921" t="n"/>
      <c r="J1" s="921" t="inlineStr">
        <is>
          <t>Comp No. 4</t>
        </is>
      </c>
      <c r="K1" s="921" t="n"/>
      <c r="L1" s="921" t="inlineStr">
        <is>
          <t>Comp No. 4</t>
        </is>
      </c>
      <c r="M1" s="921" t="n"/>
      <c r="N1" s="921" t="inlineStr">
        <is>
          <t>Comp No. 4</t>
        </is>
      </c>
      <c r="O1" s="921" t="n"/>
      <c r="P1" s="921" t="inlineStr">
        <is>
          <t>Comp No. 4</t>
        </is>
      </c>
      <c r="Q1" s="921" t="n"/>
      <c r="R1" s="921" t="inlineStr">
        <is>
          <t>Comp No. 4</t>
        </is>
      </c>
      <c r="S1" s="921" t="n"/>
    </row>
    <row r="2" ht="9" customHeight="1" s="669">
      <c r="A2" s="922" t="n"/>
      <c r="B2" s="923" t="n"/>
      <c r="C2" s="923" t="n"/>
      <c r="D2" s="923" t="inlineStr"/>
      <c r="E2" s="923" t="n"/>
      <c r="F2" s="923" t="inlineStr">
        <is>
          <t xml:space="preserve"> </t>
        </is>
      </c>
      <c r="G2" s="923" t="n"/>
      <c r="H2" s="923" t="inlineStr">
        <is>
          <t xml:space="preserve"> </t>
        </is>
      </c>
      <c r="I2" s="923" t="n"/>
      <c r="J2" s="923" t="inlineStr">
        <is>
          <t xml:space="preserve"> </t>
        </is>
      </c>
      <c r="K2" s="923" t="n"/>
      <c r="L2" s="923" t="inlineStr">
        <is>
          <t xml:space="preserve"> </t>
        </is>
      </c>
      <c r="M2" s="923" t="n"/>
      <c r="N2" s="923" t="inlineStr">
        <is>
          <t xml:space="preserve"> </t>
        </is>
      </c>
      <c r="O2" s="923" t="n"/>
      <c r="P2" s="923" t="inlineStr">
        <is>
          <t xml:space="preserve"> </t>
        </is>
      </c>
      <c r="Q2" s="923" t="n"/>
      <c r="R2" s="923" t="inlineStr">
        <is>
          <t xml:space="preserve"> </t>
        </is>
      </c>
      <c r="S2" s="923" t="n"/>
    </row>
    <row r="3" ht="15.4" customHeight="1" s="669">
      <c r="A3" s="924" t="inlineStr">
        <is>
          <t>Address:</t>
        </is>
      </c>
      <c r="B3" s="923" t="inlineStr">
        <is>
          <t>8241 U.S. Highway 31 S</t>
        </is>
      </c>
      <c r="C3" s="925" t="n"/>
      <c r="D3" s="923" t="inlineStr">
        <is>
          <t>NWQ 86th Street</t>
        </is>
      </c>
      <c r="E3" s="925" t="n"/>
      <c r="F3" s="923" t="inlineStr">
        <is>
          <t>126th Street</t>
        </is>
      </c>
      <c r="G3" s="925" t="n"/>
      <c r="H3" s="923" t="inlineStr">
        <is>
          <t>8809 S Meridian St</t>
        </is>
      </c>
      <c r="I3" s="925" t="n"/>
      <c r="J3" s="923" t="inlineStr">
        <is>
          <t>7002 S Madison Ave</t>
        </is>
      </c>
      <c r="K3" s="925" t="n"/>
      <c r="L3" s="923" t="inlineStr">
        <is>
          <t xml:space="preserve">4403 N. Franklin Rd. </t>
        </is>
      </c>
      <c r="M3" s="925" t="n"/>
      <c r="N3" s="923" t="inlineStr">
        <is>
          <t xml:space="preserve">8200 106th St. </t>
        </is>
      </c>
      <c r="O3" s="925" t="n"/>
      <c r="P3" s="923" t="inlineStr">
        <is>
          <t>4813 Madison Ave.</t>
        </is>
      </c>
      <c r="Q3" s="925" t="n"/>
      <c r="R3" s="923" t="inlineStr">
        <is>
          <t>4250 W. 56th Street</t>
        </is>
      </c>
      <c r="S3" s="925" t="n"/>
    </row>
    <row r="4" ht="15.4" customHeight="1" s="669">
      <c r="A4" s="924" t="n"/>
      <c r="B4" s="923" t="n"/>
      <c r="C4" s="925" t="n"/>
      <c r="D4" s="923" t="inlineStr">
        <is>
          <t>&amp; Township Line Rd.</t>
        </is>
      </c>
      <c r="E4" s="925" t="n"/>
      <c r="F4" s="923" t="inlineStr">
        <is>
          <t>&amp; Meridian Street</t>
        </is>
      </c>
      <c r="G4" s="925" t="n"/>
      <c r="H4" s="923" t="inlineStr">
        <is>
          <t xml:space="preserve"> </t>
        </is>
      </c>
      <c r="I4" s="925" t="n"/>
      <c r="J4" s="923" t="n"/>
      <c r="K4" s="925" t="n"/>
      <c r="L4" s="923" t="inlineStr">
        <is>
          <t xml:space="preserve"> </t>
        </is>
      </c>
      <c r="M4" s="925" t="n"/>
      <c r="N4" s="923" t="inlineStr">
        <is>
          <t xml:space="preserve"> </t>
        </is>
      </c>
      <c r="O4" s="925" t="n"/>
      <c r="P4" s="923" t="inlineStr">
        <is>
          <t xml:space="preserve"> </t>
        </is>
      </c>
      <c r="Q4" s="925" t="n"/>
      <c r="R4" s="923" t="inlineStr">
        <is>
          <t xml:space="preserve"> </t>
        </is>
      </c>
      <c r="S4" s="925" t="n"/>
    </row>
    <row r="5" ht="15.4" customHeight="1" s="669">
      <c r="A5" s="924" t="inlineStr"/>
      <c r="B5" s="923" t="inlineStr">
        <is>
          <t>Indianapolis</t>
        </is>
      </c>
      <c r="C5" s="925" t="n"/>
      <c r="D5" s="923" t="inlineStr">
        <is>
          <t>Indianapolis</t>
        </is>
      </c>
      <c r="E5" s="925" t="n"/>
      <c r="F5" s="923" t="inlineStr">
        <is>
          <t>Carmel</t>
        </is>
      </c>
      <c r="G5" s="925" t="n"/>
      <c r="H5" s="923" t="inlineStr">
        <is>
          <t>Indianapolis</t>
        </is>
      </c>
      <c r="I5" s="925" t="n"/>
      <c r="J5" s="923" t="inlineStr">
        <is>
          <t>Indianapolis</t>
        </is>
      </c>
      <c r="K5" s="925" t="n"/>
      <c r="L5" s="923" t="inlineStr">
        <is>
          <t>Indianapolis</t>
        </is>
      </c>
      <c r="M5" s="925" t="n"/>
      <c r="N5" s="923" t="inlineStr">
        <is>
          <t>Fishers</t>
        </is>
      </c>
      <c r="O5" s="925" t="n"/>
      <c r="P5" s="923" t="inlineStr">
        <is>
          <t>Indianapolis</t>
        </is>
      </c>
      <c r="Q5" s="925" t="n"/>
      <c r="R5" s="923" t="inlineStr">
        <is>
          <t>Indianapolis</t>
        </is>
      </c>
      <c r="S5" s="925" t="n"/>
    </row>
    <row r="6" ht="15.4" customHeight="1" s="669">
      <c r="A6" s="924" t="inlineStr">
        <is>
          <t>County</t>
        </is>
      </c>
      <c r="B6" s="923" t="inlineStr">
        <is>
          <t>Marion</t>
        </is>
      </c>
      <c r="C6" s="925" t="n"/>
      <c r="D6" s="923" t="inlineStr">
        <is>
          <t>Marion</t>
        </is>
      </c>
      <c r="E6" s="925" t="n"/>
      <c r="F6" s="923" t="inlineStr">
        <is>
          <t>Hamilton</t>
        </is>
      </c>
      <c r="G6" s="926" t="n"/>
      <c r="H6" s="923" t="inlineStr">
        <is>
          <t>Marion</t>
        </is>
      </c>
      <c r="I6" s="926" t="n"/>
      <c r="J6" s="923" t="inlineStr">
        <is>
          <t>Marion</t>
        </is>
      </c>
      <c r="K6" s="925" t="n"/>
      <c r="L6" s="923" t="inlineStr">
        <is>
          <t>Marion</t>
        </is>
      </c>
      <c r="M6" s="925" t="n"/>
      <c r="N6" s="923" t="inlineStr">
        <is>
          <t>Hamilton</t>
        </is>
      </c>
      <c r="O6" s="925" t="n"/>
      <c r="P6" s="923" t="inlineStr">
        <is>
          <t>Marion</t>
        </is>
      </c>
      <c r="Q6" s="925" t="n"/>
      <c r="R6" s="923" t="inlineStr">
        <is>
          <t>Marion</t>
        </is>
      </c>
      <c r="S6" s="925" t="n"/>
    </row>
    <row r="7" ht="15.4" customHeight="1" s="669">
      <c r="A7" s="924" t="inlineStr">
        <is>
          <t>Township</t>
        </is>
      </c>
      <c r="B7" s="923" t="inlineStr">
        <is>
          <t>Perry</t>
        </is>
      </c>
      <c r="C7" s="925" t="n"/>
      <c r="D7" s="923" t="inlineStr">
        <is>
          <t xml:space="preserve"> </t>
        </is>
      </c>
      <c r="E7" s="925" t="n"/>
      <c r="F7" s="923" t="inlineStr">
        <is>
          <t xml:space="preserve"> </t>
        </is>
      </c>
      <c r="G7" s="925" t="n"/>
      <c r="H7" s="923" t="inlineStr">
        <is>
          <t>Perry</t>
        </is>
      </c>
      <c r="I7" s="925" t="n"/>
      <c r="J7" s="923" t="inlineStr">
        <is>
          <t>Perry</t>
        </is>
      </c>
      <c r="K7" s="925" t="n"/>
      <c r="L7" s="923" t="inlineStr">
        <is>
          <t xml:space="preserve"> </t>
        </is>
      </c>
      <c r="M7" s="925" t="n"/>
      <c r="N7" s="923" t="inlineStr">
        <is>
          <t xml:space="preserve"> </t>
        </is>
      </c>
      <c r="O7" s="925" t="n"/>
      <c r="P7" s="923" t="inlineStr">
        <is>
          <t>Perry</t>
        </is>
      </c>
      <c r="Q7" s="925" t="n"/>
      <c r="R7" s="923" t="inlineStr">
        <is>
          <t>Pike</t>
        </is>
      </c>
      <c r="S7" s="925" t="n"/>
    </row>
    <row r="8" ht="15.4" customHeight="1" s="669">
      <c r="A8" s="924" t="inlineStr">
        <is>
          <t>Project Name</t>
        </is>
      </c>
      <c r="B8" s="923" t="inlineStr">
        <is>
          <t>T-Mobile Store</t>
        </is>
      </c>
      <c r="C8" s="925" t="n"/>
      <c r="D8" s="923" t="inlineStr">
        <is>
          <t xml:space="preserve"> </t>
        </is>
      </c>
      <c r="E8" s="925" t="n"/>
      <c r="F8" s="923" t="inlineStr">
        <is>
          <t>Hamilton Crossing</t>
        </is>
      </c>
      <c r="G8" s="925" t="n"/>
      <c r="H8" s="923" t="inlineStr">
        <is>
          <t xml:space="preserve"> </t>
        </is>
      </c>
      <c r="I8" s="925" t="n"/>
      <c r="J8" s="923" t="inlineStr">
        <is>
          <t xml:space="preserve"> </t>
        </is>
      </c>
      <c r="K8" s="925" t="n"/>
      <c r="L8" s="923" t="inlineStr">
        <is>
          <t xml:space="preserve"> </t>
        </is>
      </c>
      <c r="M8" s="925" t="n"/>
      <c r="N8" s="923" t="inlineStr">
        <is>
          <t>Vacant Land</t>
        </is>
      </c>
      <c r="O8" s="925" t="n"/>
      <c r="P8" s="923" t="inlineStr">
        <is>
          <t>Vacant Land</t>
        </is>
      </c>
      <c r="Q8" s="925" t="n"/>
      <c r="R8" s="923" t="inlineStr">
        <is>
          <t>Vacant Land</t>
        </is>
      </c>
      <c r="S8" s="925" t="n"/>
    </row>
    <row r="9" ht="15.4" customHeight="1" s="669">
      <c r="A9" s="924" t="inlineStr">
        <is>
          <t>Price of Raw Land</t>
        </is>
      </c>
      <c r="B9" s="927" t="n"/>
      <c r="C9" s="928" t="n"/>
      <c r="D9" s="923" t="n"/>
      <c r="E9" s="929" t="n">
        <v>200000</v>
      </c>
      <c r="F9" s="923" t="n"/>
      <c r="G9" s="929" t="n">
        <v>300000</v>
      </c>
      <c r="H9" s="923" t="n"/>
      <c r="I9" s="929" t="n">
        <v>260000</v>
      </c>
      <c r="J9" s="923" t="n"/>
      <c r="K9" s="929" t="n">
        <v>1050000</v>
      </c>
      <c r="L9" s="923" t="n"/>
      <c r="M9" s="929" t="n">
        <v>540000</v>
      </c>
      <c r="N9" s="923" t="n"/>
      <c r="O9" s="929" t="n">
        <v>385000</v>
      </c>
      <c r="P9" s="923" t="n"/>
      <c r="Q9" s="929" t="n">
        <v>200000</v>
      </c>
      <c r="R9" s="923" t="n"/>
      <c r="S9" s="929" t="n">
        <v>1025000</v>
      </c>
    </row>
    <row r="10" ht="15.4" customHeight="1" s="669">
      <c r="A10" s="924" t="inlineStr">
        <is>
          <t>Predevelopment Costs</t>
        </is>
      </c>
      <c r="B10" s="927" t="n"/>
      <c r="C10" s="928" t="n"/>
      <c r="D10" s="923" t="n"/>
      <c r="E10" s="929" t="n">
        <v>0</v>
      </c>
      <c r="F10" s="923" t="n"/>
      <c r="G10" s="929" t="n">
        <v>0</v>
      </c>
      <c r="H10" s="923" t="n"/>
      <c r="I10" s="929" t="n">
        <v>50000</v>
      </c>
      <c r="J10" s="923" t="n"/>
      <c r="K10" s="929" t="n">
        <v>0</v>
      </c>
      <c r="L10" s="923" t="n"/>
      <c r="M10" s="929" t="n">
        <v>35000</v>
      </c>
      <c r="N10" s="923" t="n"/>
      <c r="O10" s="929" t="n">
        <v>0</v>
      </c>
      <c r="P10" s="923" t="n"/>
      <c r="Q10" s="929" t="n">
        <v>0</v>
      </c>
      <c r="R10" s="923" t="n"/>
      <c r="S10" s="929" t="n">
        <v>0</v>
      </c>
    </row>
    <row r="11" ht="15.4" customHeight="1" s="669">
      <c r="A11" s="924" t="inlineStr">
        <is>
          <t>Aggregate Sale Price</t>
        </is>
      </c>
      <c r="B11" s="930" t="n"/>
      <c r="C11" s="931" t="n"/>
      <c r="D11" s="932" t="n"/>
      <c r="E11" s="929">
        <f>SUM(E9:E10)</f>
        <v/>
      </c>
      <c r="F11" s="932" t="n"/>
      <c r="G11" s="929">
        <f>SUM(G9:G10)</f>
        <v/>
      </c>
      <c r="H11" s="932" t="n"/>
      <c r="I11" s="929">
        <f>SUM(I9:I10)</f>
        <v/>
      </c>
      <c r="J11" s="932" t="n"/>
      <c r="K11" s="929">
        <f>SUM(K9:K10)</f>
        <v/>
      </c>
      <c r="L11" s="932" t="n"/>
      <c r="M11" s="929">
        <f>SUM(M9:M10)</f>
        <v/>
      </c>
      <c r="N11" s="932" t="n"/>
      <c r="O11" s="929">
        <f>SUM(O9:O10)</f>
        <v/>
      </c>
      <c r="P11" s="932" t="n"/>
      <c r="Q11" s="929">
        <f>SUM(Q9:Q10)</f>
        <v/>
      </c>
      <c r="R11" s="932" t="n"/>
      <c r="S11" s="929">
        <f>SUM(S9:S10)</f>
        <v/>
      </c>
    </row>
    <row r="12" ht="15.4" customHeight="1" s="669">
      <c r="A12" s="924" t="inlineStr">
        <is>
          <t>Gross Land Area (AC)</t>
        </is>
      </c>
      <c r="B12" s="933" t="n">
        <v>0.67</v>
      </c>
      <c r="C12" s="934" t="n"/>
      <c r="D12" s="932" t="n"/>
      <c r="E12" s="935" t="n">
        <v>0.57</v>
      </c>
      <c r="F12" s="932" t="n"/>
      <c r="G12" s="935" t="n">
        <v>1</v>
      </c>
      <c r="H12" s="932" t="n"/>
      <c r="I12" s="935" t="n">
        <v>0.9399999999999999</v>
      </c>
      <c r="J12" s="932" t="n"/>
      <c r="K12" s="935" t="n">
        <v>1</v>
      </c>
      <c r="L12" s="932" t="n"/>
      <c r="M12" s="935" t="n">
        <v>0.83</v>
      </c>
      <c r="N12" s="932" t="n"/>
      <c r="O12" s="935" t="n">
        <v>0.673</v>
      </c>
      <c r="P12" s="932" t="n"/>
      <c r="Q12" s="935" t="n">
        <v>0.57</v>
      </c>
      <c r="R12" s="932" t="n"/>
      <c r="S12" s="935" t="n">
        <v>1.405</v>
      </c>
    </row>
    <row r="13" ht="15.4" customHeight="1" s="669">
      <c r="A13" s="924" t="inlineStr">
        <is>
          <t>Gross Land Area (SF)</t>
        </is>
      </c>
      <c r="B13" s="936" t="n">
        <v>29098</v>
      </c>
      <c r="C13" s="934" t="n"/>
      <c r="D13" s="932" t="n"/>
      <c r="E13" s="937" t="n">
        <v>24829</v>
      </c>
      <c r="F13" s="932" t="n"/>
      <c r="G13" s="937" t="n">
        <v>43560</v>
      </c>
      <c r="H13" s="932" t="n"/>
      <c r="I13" s="937">
        <f>0.94*43560</f>
        <v/>
      </c>
      <c r="J13" s="932" t="n"/>
      <c r="K13" s="937" t="n">
        <v>43560</v>
      </c>
      <c r="L13" s="932" t="n"/>
      <c r="M13" s="937" t="n">
        <v>36155</v>
      </c>
      <c r="N13" s="932" t="n"/>
      <c r="O13" s="937" t="n">
        <v>29313</v>
      </c>
      <c r="P13" s="932" t="n"/>
      <c r="Q13" s="937" t="n">
        <v>25182</v>
      </c>
      <c r="R13" s="932" t="n"/>
      <c r="S13" s="937" t="n">
        <v>61201.8</v>
      </c>
    </row>
    <row r="14" ht="15.4" customHeight="1" s="669">
      <c r="A14" s="924" t="inlineStr">
        <is>
          <t>Unadjusted Price/SF</t>
        </is>
      </c>
      <c r="B14" s="930" t="n"/>
      <c r="C14" s="931" t="n"/>
      <c r="D14" s="932" t="n"/>
      <c r="E14" s="929">
        <f>ROUND(E11/E13,0)</f>
        <v/>
      </c>
      <c r="F14" s="938" t="n"/>
      <c r="G14" s="939">
        <f>ROUND(G11/G13,0)</f>
        <v/>
      </c>
      <c r="H14" s="938" t="n"/>
      <c r="I14" s="939">
        <f>ROUND(I11/I13,2)</f>
        <v/>
      </c>
      <c r="J14" s="938" t="n"/>
      <c r="K14" s="939">
        <f>ROUND(K11/K13,2)</f>
        <v/>
      </c>
      <c r="L14" s="938" t="n"/>
      <c r="M14" s="939">
        <f>ROUND(M11/M13,2)</f>
        <v/>
      </c>
      <c r="N14" s="938" t="n"/>
      <c r="O14" s="939">
        <f>ROUND(O11/O13,2)</f>
        <v/>
      </c>
      <c r="P14" s="938" t="n"/>
      <c r="Q14" s="939">
        <f>ROUND(Q11/Q13,2)</f>
        <v/>
      </c>
      <c r="R14" s="938" t="n"/>
      <c r="S14" s="939">
        <f>ROUND(S11/S13,2)</f>
        <v/>
      </c>
    </row>
    <row r="15" ht="15.4" customHeight="1" s="669">
      <c r="A15" s="924" t="n"/>
      <c r="B15" s="922" t="n"/>
      <c r="C15" s="924" t="n"/>
      <c r="D15" s="940" t="n"/>
      <c r="E15" s="924" t="n"/>
      <c r="F15" s="922" t="n"/>
      <c r="G15" s="924" t="n"/>
      <c r="H15" s="922" t="n"/>
      <c r="I15" s="924" t="n"/>
      <c r="J15" s="922" t="n"/>
      <c r="K15" s="924" t="n"/>
      <c r="L15" s="922" t="n"/>
      <c r="M15" s="924" t="n"/>
      <c r="N15" s="922" t="n"/>
      <c r="O15" s="924" t="n"/>
      <c r="P15" s="922" t="n"/>
      <c r="Q15" s="924" t="n"/>
      <c r="R15" s="922" t="n"/>
      <c r="S15" s="924" t="n"/>
    </row>
    <row r="16" ht="15.4" customHeight="1" s="669">
      <c r="A16" s="924" t="inlineStr">
        <is>
          <t>Rights Conveyed Adjustment</t>
        </is>
      </c>
      <c r="B16" s="941" t="inlineStr">
        <is>
          <t>Fee Simple</t>
        </is>
      </c>
      <c r="C16" s="924" t="inlineStr">
        <is>
          <t xml:space="preserve"> </t>
        </is>
      </c>
      <c r="D16" s="941" t="inlineStr">
        <is>
          <t>Equal</t>
        </is>
      </c>
      <c r="E16" s="942" t="n">
        <v>0</v>
      </c>
      <c r="F16" s="941" t="inlineStr">
        <is>
          <t>Equal</t>
        </is>
      </c>
      <c r="G16" s="21" t="n">
        <v>0</v>
      </c>
      <c r="H16" s="941" t="inlineStr">
        <is>
          <t>Equal</t>
        </is>
      </c>
      <c r="I16" s="942" t="n">
        <v>0</v>
      </c>
      <c r="J16" s="941" t="inlineStr">
        <is>
          <t>Equal</t>
        </is>
      </c>
      <c r="K16" s="942" t="n">
        <v>0</v>
      </c>
      <c r="L16" s="941" t="inlineStr">
        <is>
          <t>Equal</t>
        </is>
      </c>
      <c r="M16" s="942" t="n">
        <v>0</v>
      </c>
      <c r="N16" s="941" t="inlineStr">
        <is>
          <t>Equal</t>
        </is>
      </c>
      <c r="O16" s="942" t="n">
        <v>0</v>
      </c>
      <c r="P16" s="941" t="inlineStr">
        <is>
          <t>Equal</t>
        </is>
      </c>
      <c r="Q16" s="942" t="n">
        <v>0</v>
      </c>
      <c r="R16" s="941" t="inlineStr">
        <is>
          <t>Equal</t>
        </is>
      </c>
      <c r="S16" s="942" t="n">
        <v>0</v>
      </c>
    </row>
    <row r="17" ht="15.4" customHeight="1" s="669">
      <c r="A17" s="924" t="inlineStr">
        <is>
          <t>Price Adjusted for Rights Conveyed</t>
        </is>
      </c>
      <c r="B17" s="930" t="n"/>
      <c r="C17" s="931" t="n"/>
      <c r="D17" s="941" t="n"/>
      <c r="E17" s="929">
        <f>ROUND((E14*E16)+E14,0)</f>
        <v/>
      </c>
      <c r="F17" s="941" t="n"/>
      <c r="G17" s="929">
        <f>ROUND((G14*G16)+G14,0)</f>
        <v/>
      </c>
      <c r="H17" s="941" t="n"/>
      <c r="I17" s="939">
        <f>ROUND((I14*I16)+I14,0)</f>
        <v/>
      </c>
      <c r="J17" s="941" t="n"/>
      <c r="K17" s="939">
        <f>ROUND((K14*K16)+K14,0)</f>
        <v/>
      </c>
      <c r="L17" s="941" t="n"/>
      <c r="M17" s="939">
        <f>ROUND((M14*M16)+M14,0)</f>
        <v/>
      </c>
      <c r="N17" s="941" t="n"/>
      <c r="O17" s="939">
        <f>ROUND((O14*O16)+O14,0)</f>
        <v/>
      </c>
      <c r="P17" s="941" t="n"/>
      <c r="Q17" s="939">
        <f>ROUND((Q14*Q16)+Q14,0)</f>
        <v/>
      </c>
      <c r="R17" s="941" t="n"/>
      <c r="S17" s="939">
        <f>ROUND((S14*S16)+S14,0)</f>
        <v/>
      </c>
    </row>
    <row r="18" ht="15.4" customHeight="1" s="669">
      <c r="A18" s="924" t="n"/>
      <c r="B18" s="941" t="n"/>
      <c r="C18" s="924" t="n"/>
      <c r="D18" s="941" t="n"/>
      <c r="E18" s="943" t="n"/>
      <c r="F18" s="941" t="n"/>
      <c r="G18" s="943" t="n"/>
      <c r="H18" s="941" t="n"/>
      <c r="I18" s="943" t="n"/>
      <c r="J18" s="941" t="n"/>
      <c r="K18" s="943" t="n"/>
      <c r="L18" s="941" t="n"/>
      <c r="M18" s="943" t="n"/>
      <c r="N18" s="941" t="n"/>
      <c r="O18" s="943" t="n"/>
      <c r="P18" s="941" t="n"/>
      <c r="Q18" s="943" t="n"/>
      <c r="R18" s="941" t="n"/>
      <c r="S18" s="943" t="n"/>
    </row>
    <row r="19" ht="15.4" customHeight="1" s="669">
      <c r="A19" s="924" t="inlineStr">
        <is>
          <t>Financing Adjustment</t>
        </is>
      </c>
      <c r="B19" s="941" t="inlineStr">
        <is>
          <t>Market-typical</t>
        </is>
      </c>
      <c r="C19" s="924" t="n"/>
      <c r="D19" s="941" t="inlineStr">
        <is>
          <t>Equal</t>
        </is>
      </c>
      <c r="E19" s="942" t="n">
        <v>0</v>
      </c>
      <c r="F19" s="941" t="inlineStr">
        <is>
          <t>Equal</t>
        </is>
      </c>
      <c r="G19" s="21" t="n">
        <v>0</v>
      </c>
      <c r="H19" s="941" t="inlineStr">
        <is>
          <t>Equal</t>
        </is>
      </c>
      <c r="I19" s="942" t="n">
        <v>0</v>
      </c>
      <c r="J19" s="941" t="inlineStr">
        <is>
          <t>Equal</t>
        </is>
      </c>
      <c r="K19" s="942" t="n">
        <v>0</v>
      </c>
      <c r="L19" s="941" t="inlineStr">
        <is>
          <t>Equal</t>
        </is>
      </c>
      <c r="M19" s="942" t="n">
        <v>0</v>
      </c>
      <c r="N19" s="941" t="inlineStr">
        <is>
          <t>Equal</t>
        </is>
      </c>
      <c r="O19" s="942" t="n">
        <v>0</v>
      </c>
      <c r="P19" s="941" t="inlineStr">
        <is>
          <t>Equal</t>
        </is>
      </c>
      <c r="Q19" s="942" t="n">
        <v>0</v>
      </c>
      <c r="R19" s="941" t="inlineStr">
        <is>
          <t>Equal</t>
        </is>
      </c>
      <c r="S19" s="942" t="n">
        <v>0</v>
      </c>
    </row>
    <row r="20" ht="15.4" customHeight="1" s="669">
      <c r="A20" s="924" t="inlineStr">
        <is>
          <t>Price Adjusted for Financing</t>
        </is>
      </c>
      <c r="B20" s="944" t="n"/>
      <c r="C20" s="945" t="n"/>
      <c r="D20" s="941" t="n"/>
      <c r="E20" s="929">
        <f>ROUND((E17*E19)+E17,0)</f>
        <v/>
      </c>
      <c r="F20" s="941" t="n"/>
      <c r="G20" s="929">
        <f>ROUND((G17*G19)+G17,0)</f>
        <v/>
      </c>
      <c r="H20" s="941" t="n"/>
      <c r="I20" s="939">
        <f>ROUND((I17*I19)+I17,0)</f>
        <v/>
      </c>
      <c r="J20" s="941" t="n"/>
      <c r="K20" s="939">
        <f>ROUND((K17*K19)+K17,0)</f>
        <v/>
      </c>
      <c r="L20" s="941" t="n"/>
      <c r="M20" s="939">
        <f>ROUND((M17*M19)+M17,0)</f>
        <v/>
      </c>
      <c r="N20" s="941" t="n"/>
      <c r="O20" s="939">
        <f>ROUND((O17*O19)+O17,0)</f>
        <v/>
      </c>
      <c r="P20" s="941" t="n"/>
      <c r="Q20" s="939">
        <f>ROUND((Q17*Q19)+Q17,0)</f>
        <v/>
      </c>
      <c r="R20" s="941" t="n"/>
      <c r="S20" s="939">
        <f>ROUND((S17*S19)+S17,0)</f>
        <v/>
      </c>
    </row>
    <row r="21" ht="15.4" customHeight="1" s="669">
      <c r="A21" s="924" t="n"/>
      <c r="B21" s="941" t="n"/>
      <c r="C21" s="924" t="n"/>
      <c r="D21" s="941" t="n"/>
      <c r="E21" s="943" t="n"/>
      <c r="F21" s="941" t="n"/>
      <c r="G21" s="943" t="n"/>
      <c r="H21" s="941" t="n"/>
      <c r="I21" s="943" t="n"/>
      <c r="J21" s="941" t="n"/>
      <c r="K21" s="943" t="n"/>
      <c r="L21" s="941" t="n"/>
      <c r="M21" s="943" t="n"/>
      <c r="N21" s="941" t="n"/>
      <c r="O21" s="943" t="n"/>
      <c r="P21" s="941" t="n"/>
      <c r="Q21" s="943" t="n"/>
      <c r="R21" s="941" t="n"/>
      <c r="S21" s="943" t="n"/>
    </row>
    <row r="22" ht="15.4" customHeight="1" s="669">
      <c r="A22" s="924" t="inlineStr">
        <is>
          <t>Conditions of Sale Adjustment</t>
        </is>
      </c>
      <c r="B22" s="946" t="inlineStr">
        <is>
          <t>Arm's length</t>
        </is>
      </c>
      <c r="C22" s="25" t="n"/>
      <c r="D22" s="941" t="inlineStr">
        <is>
          <t>Equal</t>
        </is>
      </c>
      <c r="E22" s="942" t="n">
        <v>0</v>
      </c>
      <c r="F22" s="941" t="inlineStr">
        <is>
          <t>Equal</t>
        </is>
      </c>
      <c r="G22" s="21" t="n">
        <v>0</v>
      </c>
      <c r="H22" s="941" t="inlineStr">
        <is>
          <t>Equal</t>
        </is>
      </c>
      <c r="I22" s="942" t="n">
        <v>0</v>
      </c>
      <c r="J22" s="941" t="inlineStr">
        <is>
          <t>Equal</t>
        </is>
      </c>
      <c r="K22" s="942" t="n">
        <v>0</v>
      </c>
      <c r="L22" s="941" t="inlineStr">
        <is>
          <t>Equal</t>
        </is>
      </c>
      <c r="M22" s="942" t="n">
        <v>0</v>
      </c>
      <c r="N22" s="941" t="inlineStr">
        <is>
          <t>Equal</t>
        </is>
      </c>
      <c r="O22" s="942" t="n">
        <v>0</v>
      </c>
      <c r="P22" s="941" t="inlineStr">
        <is>
          <t>Equal</t>
        </is>
      </c>
      <c r="Q22" s="942" t="n">
        <v>0</v>
      </c>
      <c r="R22" s="941" t="inlineStr">
        <is>
          <t>Equal</t>
        </is>
      </c>
      <c r="S22" s="942" t="n">
        <v>0</v>
      </c>
    </row>
    <row r="23" ht="15.4" customHeight="1" s="669">
      <c r="A23" s="924" t="inlineStr">
        <is>
          <t>Price Adjusted for Conditions of Sale</t>
        </is>
      </c>
      <c r="B23" s="947" t="n"/>
      <c r="C23" s="945" t="n"/>
      <c r="D23" s="922" t="n"/>
      <c r="E23" s="929">
        <f>ROUND((E20*E22)+E20,0)</f>
        <v/>
      </c>
      <c r="F23" s="922" t="n"/>
      <c r="G23" s="929">
        <f>ROUND((G20*G22)+G20,0)</f>
        <v/>
      </c>
      <c r="H23" s="922" t="n"/>
      <c r="I23" s="939">
        <f>ROUND((I20*I22)+I20,0)</f>
        <v/>
      </c>
      <c r="J23" s="922" t="n"/>
      <c r="K23" s="939">
        <f>ROUND((K20*K22)+K20,0)</f>
        <v/>
      </c>
      <c r="L23" s="922" t="n"/>
      <c r="M23" s="939">
        <f>ROUND((M20*M22)+M20,0)</f>
        <v/>
      </c>
      <c r="N23" s="922" t="n"/>
      <c r="O23" s="939">
        <f>ROUND((O20*O22)+O20,0)</f>
        <v/>
      </c>
      <c r="P23" s="922" t="n"/>
      <c r="Q23" s="939">
        <f>ROUND((Q20*Q22)+Q20,0)</f>
        <v/>
      </c>
      <c r="R23" s="922" t="n"/>
      <c r="S23" s="939">
        <f>ROUND((S20*S22)+S20,0)</f>
        <v/>
      </c>
    </row>
    <row r="24" ht="15.4" customHeight="1" s="669">
      <c r="A24" s="924" t="n"/>
      <c r="B24" s="922" t="n"/>
      <c r="C24" s="924" t="n"/>
      <c r="D24" s="922" t="n"/>
      <c r="E24" s="943" t="n"/>
      <c r="F24" s="922" t="n"/>
      <c r="G24" s="943" t="n"/>
      <c r="H24" s="922" t="n"/>
      <c r="I24" s="943" t="n"/>
      <c r="J24" s="922" t="n"/>
      <c r="K24" s="943" t="n"/>
      <c r="L24" s="922" t="n"/>
      <c r="M24" s="943" t="n"/>
      <c r="N24" s="922" t="n"/>
      <c r="O24" s="943" t="n"/>
      <c r="P24" s="922" t="n"/>
      <c r="Q24" s="943" t="n"/>
      <c r="R24" s="922" t="n"/>
      <c r="S24" s="943" t="n"/>
    </row>
    <row r="25" ht="15.4" customHeight="1" s="669">
      <c r="A25" s="924" t="inlineStr">
        <is>
          <t>Market Conditions Adjustment</t>
        </is>
      </c>
      <c r="B25" s="948" t="n">
        <v>46030</v>
      </c>
      <c r="C25" s="27" t="n"/>
      <c r="D25" s="28" t="n">
        <v>45922</v>
      </c>
      <c r="E25" s="942">
        <f>ROUND((1+$B$46)^(($B$25-D25)/365.25),2)-1</f>
        <v/>
      </c>
      <c r="F25" s="28" t="inlineStr">
        <is>
          <t>Asking</t>
        </is>
      </c>
      <c r="G25" s="21" t="n">
        <v>0</v>
      </c>
      <c r="H25" s="28" t="inlineStr">
        <is>
          <t>Asking</t>
        </is>
      </c>
      <c r="I25" s="942" t="n">
        <v>0</v>
      </c>
      <c r="J25" s="28" t="inlineStr">
        <is>
          <t>Asking</t>
        </is>
      </c>
      <c r="K25" s="942" t="n">
        <v>0</v>
      </c>
      <c r="L25" s="28" t="n">
        <v>44958</v>
      </c>
      <c r="M25" s="942">
        <f>ROUND((1+$B$46)^(($B$25-L25)/365.25),2)-1</f>
        <v/>
      </c>
      <c r="N25" s="28" t="n">
        <v>45017</v>
      </c>
      <c r="O25" s="942">
        <f>ROUND((1+$B$46)^(($B$25-N25)/365.25),2)-1</f>
        <v/>
      </c>
      <c r="P25" s="28" t="n">
        <v>45922</v>
      </c>
      <c r="Q25" s="942">
        <f>ROUND((1+$B$46)^(($B$25-P25)/365.25),2)-1</f>
        <v/>
      </c>
      <c r="R25" s="28" t="n">
        <v>45922</v>
      </c>
      <c r="S25" s="942">
        <f>ROUND((1+$B$46)^(($B$25-R25)/365.25),2)-1</f>
        <v/>
      </c>
    </row>
    <row r="26" ht="15.4" customHeight="1" s="669">
      <c r="A26" s="924" t="inlineStr">
        <is>
          <t>Price Adjusted for Market Conditions</t>
        </is>
      </c>
      <c r="B26" s="947" t="n"/>
      <c r="C26" s="945" t="n"/>
      <c r="D26" s="922" t="n"/>
      <c r="E26" s="929">
        <f>ROUND((E23*E25)+E23,0)</f>
        <v/>
      </c>
      <c r="F26" s="922" t="n"/>
      <c r="G26" s="929">
        <f>ROUND((G23*G25)+G23,0)</f>
        <v/>
      </c>
      <c r="H26" s="922" t="n"/>
      <c r="I26" s="939">
        <f>ROUND((I23*I25)+I23,0)</f>
        <v/>
      </c>
      <c r="J26" s="922" t="n"/>
      <c r="K26" s="939">
        <f>ROUND((K23*K25)+K23,0)</f>
        <v/>
      </c>
      <c r="L26" s="949" t="n"/>
      <c r="M26" s="939">
        <f>ROUND((M23*M25)+M23,0)</f>
        <v/>
      </c>
      <c r="N26" s="949" t="n"/>
      <c r="O26" s="939">
        <f>ROUND((O23*O25)+O23,0)</f>
        <v/>
      </c>
      <c r="P26" s="949" t="n"/>
      <c r="Q26" s="939">
        <f>ROUND((Q23*Q25)+Q23,0)</f>
        <v/>
      </c>
      <c r="R26" s="949" t="n"/>
      <c r="S26" s="939">
        <f>ROUND((S23*S25)+S23,0)</f>
        <v/>
      </c>
    </row>
    <row r="27" ht="15.4" customHeight="1" s="669">
      <c r="A27" s="924" t="inlineStr">
        <is>
          <t xml:space="preserve"> </t>
        </is>
      </c>
      <c r="B27" s="922" t="n"/>
      <c r="C27" s="924" t="n"/>
      <c r="D27" s="922" t="n"/>
      <c r="E27" s="943" t="n"/>
      <c r="F27" s="922" t="n"/>
      <c r="G27" s="943" t="n"/>
      <c r="H27" s="922" t="n"/>
      <c r="I27" s="943" t="n"/>
      <c r="J27" s="922" t="n"/>
      <c r="K27" s="943" t="n"/>
      <c r="L27" s="922" t="n"/>
      <c r="M27" s="943" t="n"/>
      <c r="N27" s="922" t="n"/>
      <c r="O27" s="943" t="n"/>
      <c r="P27" s="922" t="n"/>
      <c r="Q27" s="943" t="n"/>
      <c r="R27" s="922" t="n"/>
      <c r="S27" s="943" t="n"/>
    </row>
    <row r="28" ht="15.4" customHeight="1" s="669">
      <c r="A28" s="924" t="inlineStr">
        <is>
          <t>Other Adjustments</t>
        </is>
      </c>
      <c r="B28" s="922" t="n"/>
      <c r="C28" s="924" t="n"/>
      <c r="D28" s="950" t="n"/>
      <c r="E28" s="929" t="n"/>
      <c r="F28" s="950" t="n"/>
      <c r="G28" s="929" t="n"/>
      <c r="H28" s="950" t="n"/>
      <c r="I28" s="929" t="n"/>
      <c r="J28" s="950" t="n"/>
      <c r="K28" s="929" t="n"/>
      <c r="L28" s="950" t="n"/>
      <c r="M28" s="929" t="n"/>
      <c r="N28" s="950" t="n"/>
      <c r="O28" s="929" t="n"/>
      <c r="P28" s="950" t="n"/>
      <c r="Q28" s="929" t="n"/>
      <c r="R28" s="950" t="n"/>
      <c r="S28" s="929" t="n"/>
    </row>
    <row r="29" ht="15.4" customHeight="1" s="669">
      <c r="A29" s="924" t="inlineStr">
        <is>
          <t xml:space="preserve">      Location</t>
        </is>
      </c>
      <c r="B29" s="951" t="inlineStr">
        <is>
          <t xml:space="preserve"> </t>
        </is>
      </c>
      <c r="C29" s="952" t="n"/>
      <c r="D29" s="941" t="inlineStr">
        <is>
          <t>Superior</t>
        </is>
      </c>
      <c r="E29" s="953" t="n">
        <v>0.25</v>
      </c>
      <c r="F29" s="941" t="inlineStr">
        <is>
          <t>Superior</t>
        </is>
      </c>
      <c r="G29" s="953" t="n">
        <v>0</v>
      </c>
      <c r="H29" s="941" t="inlineStr">
        <is>
          <t>Inferior</t>
        </is>
      </c>
      <c r="I29" s="953" t="n">
        <v>0.1</v>
      </c>
      <c r="J29" s="941" t="inlineStr">
        <is>
          <t>Equal</t>
        </is>
      </c>
      <c r="K29" s="953" t="n">
        <v>-0.2</v>
      </c>
      <c r="L29" s="941" t="inlineStr">
        <is>
          <t>Equal</t>
        </is>
      </c>
      <c r="M29" s="953" t="n">
        <v>0.1</v>
      </c>
      <c r="N29" s="941" t="inlineStr">
        <is>
          <t>Equal</t>
        </is>
      </c>
      <c r="O29" s="953" t="n">
        <v>0</v>
      </c>
      <c r="P29" s="941" t="inlineStr">
        <is>
          <t>Equal</t>
        </is>
      </c>
      <c r="Q29" s="953" t="n">
        <v>0</v>
      </c>
      <c r="R29" s="941" t="inlineStr">
        <is>
          <t>Equal</t>
        </is>
      </c>
      <c r="S29" s="953" t="n">
        <v>0</v>
      </c>
    </row>
    <row r="30" ht="15.4" customHeight="1" s="669">
      <c r="A30" s="924" t="inlineStr">
        <is>
          <t xml:space="preserve">      Zoning</t>
        </is>
      </c>
      <c r="B30" s="941" t="inlineStr">
        <is>
          <t>C-4</t>
        </is>
      </c>
      <c r="C30" s="924" t="n"/>
      <c r="D30" s="941" t="n"/>
      <c r="E30" s="953" t="n">
        <v>0</v>
      </c>
      <c r="F30" s="941" t="n"/>
      <c r="G30" s="953" t="n">
        <v>0</v>
      </c>
      <c r="H30" s="941" t="inlineStr">
        <is>
          <t>C-1</t>
        </is>
      </c>
      <c r="I30" s="953" t="n">
        <v>0.15</v>
      </c>
      <c r="J30" s="941" t="n"/>
      <c r="K30" s="953" t="n">
        <v>0</v>
      </c>
      <c r="L30" s="941" t="inlineStr">
        <is>
          <t>C-5</t>
        </is>
      </c>
      <c r="M30" s="953" t="n">
        <v>0</v>
      </c>
      <c r="N30" s="941" t="inlineStr">
        <is>
          <t>PUDC</t>
        </is>
      </c>
      <c r="O30" s="953" t="n">
        <v>0</v>
      </c>
      <c r="P30" s="941" t="inlineStr">
        <is>
          <t>PUDC</t>
        </is>
      </c>
      <c r="Q30" s="953" t="n">
        <v>0</v>
      </c>
      <c r="R30" s="941" t="inlineStr">
        <is>
          <t>PUDC</t>
        </is>
      </c>
      <c r="S30" s="953" t="n">
        <v>0</v>
      </c>
    </row>
    <row r="31" ht="15.4" customHeight="1" s="669">
      <c r="A31" s="924" t="inlineStr">
        <is>
          <t xml:space="preserve">      Utilities</t>
        </is>
      </c>
      <c r="B31" s="941" t="inlineStr">
        <is>
          <t>All Municipal</t>
        </is>
      </c>
      <c r="C31" s="924" t="n"/>
      <c r="D31" s="941" t="inlineStr">
        <is>
          <t>Equal</t>
        </is>
      </c>
      <c r="E31" s="953" t="n">
        <v>0</v>
      </c>
      <c r="F31" s="941" t="inlineStr">
        <is>
          <t>Equal</t>
        </is>
      </c>
      <c r="G31" s="953" t="n">
        <v>0</v>
      </c>
      <c r="H31" s="941" t="inlineStr">
        <is>
          <t>Equal</t>
        </is>
      </c>
      <c r="I31" s="953" t="n">
        <v>0</v>
      </c>
      <c r="J31" s="941" t="inlineStr">
        <is>
          <t>Equal</t>
        </is>
      </c>
      <c r="K31" s="953" t="n">
        <v>0</v>
      </c>
      <c r="L31" s="941" t="inlineStr">
        <is>
          <t>Equal</t>
        </is>
      </c>
      <c r="M31" s="953" t="n">
        <v>0</v>
      </c>
      <c r="N31" s="941" t="inlineStr">
        <is>
          <t>Equal</t>
        </is>
      </c>
      <c r="O31" s="953" t="n">
        <v>0</v>
      </c>
      <c r="P31" s="941" t="inlineStr">
        <is>
          <t>Equal</t>
        </is>
      </c>
      <c r="Q31" s="953" t="n">
        <v>0</v>
      </c>
      <c r="R31" s="941" t="inlineStr">
        <is>
          <t>Equal</t>
        </is>
      </c>
      <c r="S31" s="953" t="n">
        <v>0</v>
      </c>
    </row>
    <row r="32" ht="15.4" customHeight="1" s="669">
      <c r="A32" s="924" t="inlineStr">
        <is>
          <t xml:space="preserve">      Access/Shape</t>
        </is>
      </c>
      <c r="B32" s="941" t="inlineStr">
        <is>
          <t>Indirect/Irregular</t>
        </is>
      </c>
      <c r="C32" s="924" t="n"/>
      <c r="D32" s="941" t="inlineStr">
        <is>
          <t>Equal</t>
        </is>
      </c>
      <c r="E32" s="953" t="n">
        <v>0</v>
      </c>
      <c r="F32" s="941" t="inlineStr">
        <is>
          <t>Equal</t>
        </is>
      </c>
      <c r="G32" s="953" t="n">
        <v>0</v>
      </c>
      <c r="H32" s="941" t="inlineStr">
        <is>
          <t>Equal</t>
        </is>
      </c>
      <c r="I32" s="953" t="n">
        <v>-0.05</v>
      </c>
      <c r="J32" s="941" t="inlineStr">
        <is>
          <t>Equal</t>
        </is>
      </c>
      <c r="K32" s="953" t="n">
        <v>0</v>
      </c>
      <c r="L32" s="941" t="inlineStr">
        <is>
          <t>Equal</t>
        </is>
      </c>
      <c r="M32" s="953" t="n">
        <v>0</v>
      </c>
      <c r="N32" s="941" t="inlineStr">
        <is>
          <t>Equal</t>
        </is>
      </c>
      <c r="O32" s="953" t="n">
        <v>0</v>
      </c>
      <c r="P32" s="941" t="inlineStr">
        <is>
          <t>Equal</t>
        </is>
      </c>
      <c r="Q32" s="953" t="n">
        <v>0</v>
      </c>
      <c r="R32" s="941" t="inlineStr">
        <is>
          <t>Equal</t>
        </is>
      </c>
      <c r="S32" s="953" t="n">
        <v>0</v>
      </c>
    </row>
    <row r="33" ht="15.4" customHeight="1" s="669">
      <c r="A33" s="924" t="inlineStr">
        <is>
          <t xml:space="preserve">      Frontage/Traffic Counts</t>
        </is>
      </c>
      <c r="B33" s="941" t="inlineStr">
        <is>
          <t>Good/38,038 AADT</t>
        </is>
      </c>
      <c r="C33" s="924" t="n"/>
      <c r="D33" s="941" t="inlineStr">
        <is>
          <t>Equal</t>
        </is>
      </c>
      <c r="E33" s="953" t="n">
        <v>0</v>
      </c>
      <c r="F33" s="941" t="inlineStr">
        <is>
          <t>Equal</t>
        </is>
      </c>
      <c r="G33" s="953" t="n">
        <v>0</v>
      </c>
      <c r="H33" s="941" t="inlineStr">
        <is>
          <t>Good/32,336 AADT</t>
        </is>
      </c>
      <c r="I33" s="953" t="n">
        <v>0</v>
      </c>
      <c r="J33" s="941" t="inlineStr">
        <is>
          <t>Equal</t>
        </is>
      </c>
      <c r="K33" s="953" t="n">
        <v>0</v>
      </c>
      <c r="L33" s="941" t="inlineStr">
        <is>
          <t>Equal</t>
        </is>
      </c>
      <c r="M33" s="953" t="n">
        <v>0</v>
      </c>
      <c r="N33" s="941" t="inlineStr">
        <is>
          <t>Equal</t>
        </is>
      </c>
      <c r="O33" s="953" t="n">
        <v>0</v>
      </c>
      <c r="P33" s="941" t="inlineStr">
        <is>
          <t>Equal</t>
        </is>
      </c>
      <c r="Q33" s="953" t="n">
        <v>0</v>
      </c>
      <c r="R33" s="941" t="inlineStr">
        <is>
          <t>Equal</t>
        </is>
      </c>
      <c r="S33" s="953" t="n">
        <v>0</v>
      </c>
    </row>
    <row r="34" ht="15.4" customHeight="1" s="669">
      <c r="A34" s="924" t="inlineStr">
        <is>
          <t xml:space="preserve">      Flood Zone</t>
        </is>
      </c>
      <c r="B34" s="941" t="inlineStr">
        <is>
          <t>Zone X</t>
        </is>
      </c>
      <c r="C34" s="924" t="n"/>
      <c r="D34" s="941" t="inlineStr">
        <is>
          <t>Inferior</t>
        </is>
      </c>
      <c r="E34" s="953" t="n">
        <v>0</v>
      </c>
      <c r="F34" s="941" t="inlineStr">
        <is>
          <t>Inferior</t>
        </is>
      </c>
      <c r="G34" s="953" t="n">
        <v>0</v>
      </c>
      <c r="H34" s="941" t="inlineStr">
        <is>
          <t>Inferior</t>
        </is>
      </c>
      <c r="I34" s="953" t="n">
        <v>0</v>
      </c>
      <c r="J34" s="941" t="inlineStr">
        <is>
          <t>Inferior</t>
        </is>
      </c>
      <c r="K34" s="953" t="n">
        <v>0</v>
      </c>
      <c r="L34" s="941" t="inlineStr">
        <is>
          <t>Inferior</t>
        </is>
      </c>
      <c r="M34" s="953" t="n">
        <v>0</v>
      </c>
      <c r="N34" s="941" t="inlineStr">
        <is>
          <t>Inferior</t>
        </is>
      </c>
      <c r="O34" s="953" t="n">
        <v>0</v>
      </c>
      <c r="P34" s="941" t="inlineStr">
        <is>
          <t>Inferior</t>
        </is>
      </c>
      <c r="Q34" s="953" t="n">
        <v>0</v>
      </c>
      <c r="R34" s="941" t="inlineStr">
        <is>
          <t>Inferior</t>
        </is>
      </c>
      <c r="S34" s="953" t="n">
        <v>0</v>
      </c>
    </row>
    <row r="35" ht="15.4" customHeight="1" s="669">
      <c r="A35" s="924" t="inlineStr">
        <is>
          <t xml:space="preserve">      Land Size (AC)</t>
        </is>
      </c>
      <c r="B35" s="936">
        <f>B13</f>
        <v/>
      </c>
      <c r="C35" s="934" t="n"/>
      <c r="D35" s="954">
        <f>E13</f>
        <v/>
      </c>
      <c r="E35" s="942" t="n">
        <v>0</v>
      </c>
      <c r="F35" s="954">
        <f>G13</f>
        <v/>
      </c>
      <c r="G35" s="942" t="n">
        <v>0</v>
      </c>
      <c r="H35" s="954">
        <f>I13</f>
        <v/>
      </c>
      <c r="I35" s="942" t="n">
        <v>0</v>
      </c>
      <c r="J35" s="954">
        <f>K13</f>
        <v/>
      </c>
      <c r="K35" s="942" t="n">
        <v>0.05</v>
      </c>
      <c r="L35" s="954">
        <f>M13</f>
        <v/>
      </c>
      <c r="M35" s="942" t="n">
        <v>0</v>
      </c>
      <c r="N35" s="954">
        <f>O13</f>
        <v/>
      </c>
      <c r="O35" s="942" t="n">
        <v>0</v>
      </c>
      <c r="P35" s="954">
        <f>Q13</f>
        <v/>
      </c>
      <c r="Q35" s="942" t="n">
        <v>0</v>
      </c>
      <c r="R35" s="954">
        <f>S13</f>
        <v/>
      </c>
      <c r="S35" s="942" t="n">
        <v>0</v>
      </c>
    </row>
    <row r="36" ht="15.4" customHeight="1" s="669">
      <c r="A36" s="924" t="inlineStr">
        <is>
          <t xml:space="preserve">      Total of Other Adjustments</t>
        </is>
      </c>
      <c r="B36" s="947" t="n"/>
      <c r="C36" s="945" t="n"/>
      <c r="D36" s="922" t="n"/>
      <c r="E36" s="953">
        <f>SUM(E29:E35)</f>
        <v/>
      </c>
      <c r="F36" s="922" t="n"/>
      <c r="G36" s="953">
        <f>SUM(G29:G35)</f>
        <v/>
      </c>
      <c r="H36" s="922" t="n"/>
      <c r="I36" s="953">
        <f>SUM(I29:I35)</f>
        <v/>
      </c>
      <c r="J36" s="922" t="n"/>
      <c r="K36" s="953">
        <f>SUM(K29:K35)</f>
        <v/>
      </c>
      <c r="L36" s="922" t="n"/>
      <c r="M36" s="953">
        <f>SUM(M29:M35)</f>
        <v/>
      </c>
      <c r="N36" s="922" t="n"/>
      <c r="O36" s="953">
        <f>SUM(O29:O35)</f>
        <v/>
      </c>
      <c r="P36" s="922" t="n"/>
      <c r="Q36" s="953">
        <f>SUM(Q29:Q35)</f>
        <v/>
      </c>
      <c r="R36" s="922" t="n"/>
      <c r="S36" s="953">
        <f>SUM(S29:S35)</f>
        <v/>
      </c>
    </row>
    <row r="37" ht="9" customHeight="1" s="669">
      <c r="A37" s="924" t="inlineStr">
        <is>
          <t xml:space="preserve"> </t>
        </is>
      </c>
      <c r="B37" s="947" t="n"/>
      <c r="C37" s="945" t="n"/>
      <c r="D37" s="955" t="n"/>
      <c r="E37" s="956" t="n"/>
      <c r="F37" s="955" t="n"/>
      <c r="G37" s="956" t="n"/>
      <c r="H37" s="955" t="n"/>
      <c r="I37" s="956" t="n"/>
      <c r="J37" s="955" t="n"/>
      <c r="K37" s="956" t="n"/>
      <c r="L37" s="955" t="n"/>
      <c r="M37" s="956" t="n"/>
      <c r="N37" s="955" t="n"/>
      <c r="O37" s="956" t="n"/>
      <c r="P37" s="955" t="n"/>
      <c r="Q37" s="956" t="n"/>
      <c r="R37" s="955" t="n"/>
      <c r="S37" s="956" t="n"/>
    </row>
    <row r="38" ht="15.4" customHeight="1" s="669">
      <c r="A38" s="924" t="inlineStr">
        <is>
          <t>Final Adjusted Sale Price/AC</t>
        </is>
      </c>
      <c r="B38" s="947" t="n"/>
      <c r="C38" s="945" t="n"/>
      <c r="D38" s="949" t="n"/>
      <c r="E38" s="939">
        <f>ROUND((E26*E36)+E26,0)</f>
        <v/>
      </c>
      <c r="F38" s="949" t="n"/>
      <c r="G38" s="939">
        <f>ROUND((G26*G36)+G26,0)</f>
        <v/>
      </c>
      <c r="H38" s="922" t="n"/>
      <c r="I38" s="939">
        <f>ROUND((I26*I36)+I26,0)</f>
        <v/>
      </c>
      <c r="J38" s="922" t="n"/>
      <c r="K38" s="939">
        <f>ROUND((K26*K36)+K26,0)</f>
        <v/>
      </c>
      <c r="L38" s="949" t="n"/>
      <c r="M38" s="939">
        <f>ROUND((M26*M36)+M26,0)</f>
        <v/>
      </c>
      <c r="N38" s="949" t="n"/>
      <c r="O38" s="939">
        <f>ROUND((O26*O36)+O26,0)</f>
        <v/>
      </c>
      <c r="P38" s="949" t="n"/>
      <c r="Q38" s="939">
        <f>ROUND((Q26*Q36)+Q26,0)</f>
        <v/>
      </c>
      <c r="R38" s="949" t="n"/>
      <c r="S38" s="939">
        <f>ROUND((S26*S36)+S26,0)</f>
        <v/>
      </c>
    </row>
    <row r="39" ht="9" customHeight="1" s="669">
      <c r="A39" s="922" t="inlineStr">
        <is>
          <t xml:space="preserve"> </t>
        </is>
      </c>
      <c r="B39" s="922" t="n"/>
      <c r="C39" s="922" t="n"/>
      <c r="D39" s="922" t="n"/>
      <c r="E39" s="922" t="n"/>
      <c r="F39" s="922" t="n"/>
      <c r="G39" s="922" t="n"/>
      <c r="H39" s="922" t="n"/>
      <c r="I39" s="922" t="n"/>
      <c r="J39" s="922" t="n"/>
      <c r="K39" s="922" t="n"/>
      <c r="L39" s="922" t="n"/>
      <c r="M39" s="922" t="n"/>
      <c r="N39" s="922" t="n"/>
      <c r="O39" s="922" t="n"/>
      <c r="P39" s="922" t="n"/>
      <c r="Q39" s="922" t="n"/>
      <c r="R39" s="922" t="n"/>
      <c r="S39" s="922" t="n"/>
    </row>
    <row r="40" ht="15" customHeight="1" s="669">
      <c r="A40" s="957" t="inlineStr">
        <is>
          <t>For Reconciliation Purposes</t>
        </is>
      </c>
      <c r="B40" s="957" t="n"/>
      <c r="C40" s="957" t="n"/>
      <c r="D40" s="957" t="n"/>
      <c r="E40" s="957" t="n"/>
      <c r="F40" s="957" t="n"/>
      <c r="G40" s="957" t="n"/>
      <c r="H40" s="957" t="n"/>
      <c r="I40" s="957" t="n"/>
      <c r="J40" s="957" t="n"/>
      <c r="K40" s="957" t="n"/>
      <c r="L40" s="957" t="n"/>
      <c r="M40" s="957" t="n"/>
      <c r="N40" s="957" t="n"/>
      <c r="O40" s="957" t="n"/>
      <c r="P40" s="957" t="n"/>
      <c r="Q40" s="957" t="n"/>
      <c r="R40" s="957" t="n"/>
      <c r="S40" s="957" t="n"/>
    </row>
    <row r="41" ht="15" customHeight="1" s="669">
      <c r="A41" s="957" t="inlineStr">
        <is>
          <t xml:space="preserve">        Total Adjustment ($/AC) </t>
        </is>
      </c>
      <c r="B41" s="957" t="n"/>
      <c r="C41" s="957" t="n"/>
      <c r="D41" s="958" t="n"/>
      <c r="E41" s="959">
        <f>ROUND(E38-E14,0)</f>
        <v/>
      </c>
      <c r="F41" s="960" t="n"/>
      <c r="G41" s="959">
        <f>ROUND(G38-G14,0)</f>
        <v/>
      </c>
      <c r="H41" s="960" t="n"/>
      <c r="I41" s="961">
        <f>ROUND(I38-I14,0)</f>
        <v/>
      </c>
      <c r="J41" s="959" t="inlineStr">
        <is>
          <t xml:space="preserve"> </t>
        </is>
      </c>
      <c r="K41" s="961">
        <f>ROUND(K38-K14,0)</f>
        <v/>
      </c>
      <c r="L41" s="961" t="inlineStr">
        <is>
          <t xml:space="preserve"> </t>
        </is>
      </c>
      <c r="M41" s="961">
        <f>ROUND(M38-M14,0)</f>
        <v/>
      </c>
      <c r="N41" s="961" t="inlineStr">
        <is>
          <t xml:space="preserve"> </t>
        </is>
      </c>
      <c r="O41" s="961">
        <f>ROUND(O38-O14,0)</f>
        <v/>
      </c>
      <c r="P41" s="961" t="inlineStr">
        <is>
          <t xml:space="preserve"> </t>
        </is>
      </c>
      <c r="Q41" s="961">
        <f>ROUND(Q38-Q14,0)</f>
        <v/>
      </c>
      <c r="R41" s="961" t="inlineStr">
        <is>
          <t xml:space="preserve"> </t>
        </is>
      </c>
      <c r="S41" s="961">
        <f>ROUND(S38-S14,0)</f>
        <v/>
      </c>
    </row>
    <row r="42" ht="15" customHeight="1" s="669">
      <c r="A42" s="957" t="inlineStr">
        <is>
          <t xml:space="preserve">        Total Adjustment (% of Price)</t>
        </is>
      </c>
      <c r="B42" s="957" t="n"/>
      <c r="C42" s="957" t="n"/>
      <c r="D42" s="962" t="n"/>
      <c r="E42" s="963">
        <f>ROUND((E38/E14)-1,3)</f>
        <v/>
      </c>
      <c r="F42" s="964" t="n"/>
      <c r="G42" s="963">
        <f>ROUND((G38/G14)-1,3)</f>
        <v/>
      </c>
      <c r="H42" s="963" t="inlineStr">
        <is>
          <t xml:space="preserve"> </t>
        </is>
      </c>
      <c r="I42" s="963">
        <f>ROUND((I38/I14)-1,3)</f>
        <v/>
      </c>
      <c r="J42" s="963" t="inlineStr">
        <is>
          <t xml:space="preserve"> </t>
        </is>
      </c>
      <c r="K42" s="963">
        <f>ROUND((K38/K14)-1,3)</f>
        <v/>
      </c>
      <c r="L42" s="963" t="inlineStr">
        <is>
          <t xml:space="preserve"> </t>
        </is>
      </c>
      <c r="M42" s="963">
        <f>ROUND((M38/M14)-1,3)</f>
        <v/>
      </c>
      <c r="N42" s="963" t="inlineStr">
        <is>
          <t xml:space="preserve"> </t>
        </is>
      </c>
      <c r="O42" s="963">
        <f>ROUND((O38/O14)-1,3)</f>
        <v/>
      </c>
      <c r="P42" s="963" t="inlineStr">
        <is>
          <t xml:space="preserve"> </t>
        </is>
      </c>
      <c r="Q42" s="963">
        <f>ROUND((Q38/Q14)-1,3)</f>
        <v/>
      </c>
      <c r="R42" s="963" t="inlineStr">
        <is>
          <t xml:space="preserve"> </t>
        </is>
      </c>
      <c r="S42" s="963">
        <f>ROUND((S38/S14)-1,3)</f>
        <v/>
      </c>
    </row>
    <row r="43" ht="9" customHeight="1" s="669">
      <c r="A43" s="922" t="inlineStr">
        <is>
          <t xml:space="preserve"> </t>
        </is>
      </c>
      <c r="B43" s="922" t="n"/>
      <c r="C43" s="922" t="n"/>
      <c r="D43" s="965" t="n"/>
      <c r="E43" s="965" t="n"/>
      <c r="F43" s="965" t="n"/>
      <c r="G43" s="965" t="n"/>
      <c r="H43" s="965" t="n"/>
      <c r="I43" s="965" t="n"/>
      <c r="J43" s="965" t="n"/>
      <c r="K43" s="965" t="n"/>
      <c r="L43" s="965" t="n"/>
      <c r="M43" s="965" t="n"/>
      <c r="N43" s="965" t="n"/>
      <c r="O43" s="965" t="n"/>
      <c r="P43" s="965" t="n"/>
      <c r="Q43" s="965" t="n"/>
      <c r="R43" s="965" t="n"/>
      <c r="S43" s="965" t="n"/>
    </row>
    <row r="44" ht="15.4" customHeight="1" s="669">
      <c r="A44" s="922" t="inlineStr">
        <is>
          <t>Notes:</t>
        </is>
      </c>
      <c r="B44" s="922" t="n"/>
      <c r="C44" s="922" t="n"/>
      <c r="D44" s="922" t="n"/>
      <c r="E44" s="922" t="n"/>
      <c r="F44" s="922" t="inlineStr">
        <is>
          <t xml:space="preserve"> </t>
        </is>
      </c>
      <c r="G44" s="922" t="n"/>
      <c r="H44" s="922" t="inlineStr">
        <is>
          <t xml:space="preserve"> </t>
        </is>
      </c>
      <c r="I44" s="922" t="n"/>
      <c r="J44" s="922" t="n"/>
      <c r="K44" s="922" t="n"/>
      <c r="L44" s="922" t="n"/>
      <c r="M44" s="922" t="n"/>
      <c r="N44" s="922" t="n"/>
      <c r="O44" s="922" t="n"/>
      <c r="P44" s="922" t="n"/>
      <c r="Q44" s="922" t="n"/>
      <c r="R44" s="922" t="n"/>
      <c r="S44" s="922" t="n"/>
    </row>
    <row r="45" ht="15.4" customHeight="1" s="669">
      <c r="A45" s="922" t="inlineStr">
        <is>
          <t xml:space="preserve">     1.  Adjustments for changes in market conditions over time</t>
        </is>
      </c>
      <c r="B45" s="922" t="n"/>
      <c r="C45" s="922" t="n"/>
      <c r="D45" s="966" t="n"/>
      <c r="E45" s="922" t="n"/>
      <c r="F45" s="922" t="inlineStr">
        <is>
          <t xml:space="preserve"> </t>
        </is>
      </c>
      <c r="G45" s="922" t="n"/>
      <c r="H45" s="922" t="n"/>
      <c r="I45" s="922" t="n"/>
      <c r="J45" s="922" t="n"/>
      <c r="K45" s="922" t="n"/>
      <c r="L45" s="922" t="n"/>
      <c r="M45" s="922" t="n"/>
      <c r="N45" s="922" t="n"/>
      <c r="O45" s="922" t="n"/>
      <c r="P45" s="922" t="n"/>
      <c r="Q45" s="922" t="n"/>
      <c r="R45" s="922" t="n"/>
      <c r="S45" s="922" t="n"/>
    </row>
    <row r="46" ht="15.4" customHeight="1" s="669">
      <c r="A46" s="922" t="inlineStr">
        <is>
          <t xml:space="preserve">          are based on an annual-compound rate of:</t>
        </is>
      </c>
      <c r="B46" s="967" t="n">
        <v>0.03</v>
      </c>
      <c r="C46" s="922" t="n"/>
      <c r="D46" s="922" t="n"/>
      <c r="E46" s="968" t="inlineStr">
        <is>
          <t xml:space="preserve"> </t>
        </is>
      </c>
      <c r="F46" s="922" t="n"/>
      <c r="G46" s="922" t="n"/>
      <c r="H46" s="922" t="n"/>
      <c r="I46" s="922" t="n"/>
      <c r="J46" s="922" t="n"/>
      <c r="K46" s="922" t="n"/>
      <c r="L46" s="922" t="n"/>
      <c r="M46" s="922" t="n"/>
      <c r="N46" s="922" t="n"/>
      <c r="O46" s="922" t="n"/>
      <c r="P46" s="922" t="n"/>
      <c r="Q46" s="922" t="n"/>
      <c r="R46" s="922" t="n"/>
      <c r="S46" s="922" t="n"/>
    </row>
    <row r="47" ht="15.4" customHeight="1" s="669">
      <c r="A47" s="922" t="n"/>
      <c r="B47" s="967" t="n"/>
      <c r="C47" s="922" t="n"/>
      <c r="D47" s="922" t="n"/>
      <c r="E47" s="922" t="n"/>
      <c r="F47" s="922" t="n"/>
      <c r="G47" s="922" t="n"/>
      <c r="H47" s="922" t="n"/>
      <c r="I47" s="922" t="n"/>
      <c r="J47" s="922" t="n"/>
      <c r="K47" s="922" t="n"/>
      <c r="L47" s="922" t="n"/>
      <c r="M47" s="922" t="n"/>
      <c r="N47" s="922" t="n"/>
      <c r="O47" s="922" t="n"/>
      <c r="P47" s="922" t="n"/>
      <c r="Q47" s="922" t="n"/>
      <c r="R47" s="922" t="n"/>
      <c r="S47" s="922" t="n"/>
    </row>
    <row r="48" ht="15.4" customHeight="1" s="669">
      <c r="A48" s="969" t="n"/>
      <c r="B48" s="970" t="n"/>
      <c r="C48" s="970" t="n"/>
      <c r="D48" s="970" t="n"/>
      <c r="E48" s="970" t="n"/>
      <c r="F48" s="971" t="n"/>
      <c r="G48" s="922" t="n"/>
      <c r="H48" s="922" t="n"/>
      <c r="I48" s="922" t="n"/>
      <c r="J48" s="922" t="n"/>
      <c r="K48" s="922" t="n"/>
      <c r="L48" s="922" t="n"/>
      <c r="M48" s="922" t="n"/>
      <c r="N48" s="922" t="n"/>
      <c r="O48" s="922" t="n"/>
      <c r="P48" s="922" t="n"/>
      <c r="Q48" s="922" t="n"/>
      <c r="R48" s="922" t="n"/>
      <c r="S48" s="922" t="n"/>
    </row>
    <row r="49" ht="15.4" customHeight="1" s="669">
      <c r="A49" s="49" t="inlineStr">
        <is>
          <t xml:space="preserve">     Subject Property:</t>
        </is>
      </c>
      <c r="B49" s="972">
        <f>B13</f>
        <v/>
      </c>
      <c r="C49" s="973" t="n">
        <v>15</v>
      </c>
      <c r="D49" s="974" t="n"/>
      <c r="E49" s="975" t="n"/>
      <c r="F49" s="976">
        <f>B49*C49</f>
        <v/>
      </c>
      <c r="G49" s="977" t="n"/>
      <c r="H49" s="922" t="n"/>
      <c r="I49" s="922" t="n"/>
      <c r="J49" s="922" t="n"/>
      <c r="K49" s="922" t="n"/>
      <c r="L49" s="922" t="n"/>
      <c r="M49" s="922" t="n"/>
      <c r="N49" s="922" t="n"/>
      <c r="O49" s="922" t="n"/>
      <c r="P49" s="922" t="n"/>
      <c r="Q49" s="922" t="n"/>
      <c r="R49" s="922" t="n"/>
      <c r="S49" s="922" t="n"/>
    </row>
    <row r="50" ht="15.4" customHeight="1" s="669">
      <c r="A50" s="978" t="n"/>
      <c r="B50" s="55" t="n"/>
      <c r="C50" s="55" t="n"/>
      <c r="D50" s="922" t="inlineStr">
        <is>
          <t>Rounded to:</t>
        </is>
      </c>
      <c r="E50" s="922" t="n"/>
      <c r="F50" s="979">
        <f>ROUND(F49,-3)</f>
        <v/>
      </c>
      <c r="G50" s="980" t="n"/>
      <c r="H50" s="966" t="inlineStr">
        <is>
          <t xml:space="preserve"> </t>
        </is>
      </c>
      <c r="I50" s="966" t="n"/>
      <c r="J50" s="922" t="n"/>
      <c r="K50" s="922" t="n"/>
      <c r="L50" s="922" t="n"/>
      <c r="M50" s="922" t="n"/>
      <c r="N50" s="922" t="n"/>
      <c r="O50" s="922" t="n"/>
      <c r="P50" s="922" t="n"/>
      <c r="Q50" s="922" t="n"/>
      <c r="R50" s="922" t="n"/>
      <c r="S50" s="922" t="n"/>
    </row>
    <row r="51" ht="15.4" customHeight="1" s="669">
      <c r="A51" s="981" t="n"/>
      <c r="B51" s="60" t="n"/>
      <c r="C51" s="60" t="n"/>
      <c r="D51" s="982" t="n"/>
      <c r="E51" s="982" t="n"/>
      <c r="F51" s="983" t="n"/>
      <c r="G51" s="980" t="n"/>
      <c r="H51" s="966" t="n"/>
      <c r="I51" s="966" t="n"/>
    </row>
  </sheetData>
  <printOptions gridLinesSet="0"/>
  <pageMargins left="1" right="1" top="1" bottom="0.75" header="0.5" footer="0.5"/>
  <pageSetup orientation="portrait" scale="57" horizontalDpi="4294967292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34"/>
  <sheetViews>
    <sheetView showGridLines="0" workbookViewId="0">
      <selection activeCell="C32" sqref="C32"/>
    </sheetView>
  </sheetViews>
  <sheetFormatPr baseColWidth="8" defaultRowHeight="13.9"/>
  <cols>
    <col width="10.3125" customWidth="1" style="206" min="1" max="1"/>
    <col width="17.8125" customWidth="1" style="219" min="2" max="2"/>
    <col width="11.625" customWidth="1" style="219" min="3" max="3"/>
    <col width="10.4375" customWidth="1" style="219" min="4" max="4"/>
    <col width="9.0625" bestFit="1" customWidth="1" style="206" min="5" max="5"/>
    <col width="9.125" customWidth="1" style="206" min="6" max="6"/>
    <col width="8.5625" bestFit="1" customWidth="1" style="206" min="7" max="7"/>
    <col width="9.5" customWidth="1" style="206" min="8" max="8"/>
    <col width="9" customWidth="1" style="206" min="9" max="9"/>
    <col width="10.4375" bestFit="1" customWidth="1" style="206" min="10" max="10"/>
    <col width="9" customWidth="1" style="206" min="11" max="11"/>
    <col width="10.0625" bestFit="1" customWidth="1" style="206" min="12" max="12"/>
    <col width="9" customWidth="1" style="206" min="13" max="13"/>
    <col width="10.0625" bestFit="1" customWidth="1" style="206" min="14" max="14"/>
    <col width="9" customWidth="1" style="206" min="15" max="15"/>
    <col width="10.0625" bestFit="1" customWidth="1" style="206" min="16" max="16"/>
    <col width="9" customWidth="1" style="206" min="17" max="17"/>
    <col width="10.4375" bestFit="1" customWidth="1" style="206" min="18" max="18"/>
    <col width="9" customWidth="1" style="206" min="19" max="255"/>
    <col width="10.3125" customWidth="1" style="206" min="256" max="256"/>
    <col width="19.8125" customWidth="1" style="206" min="257" max="257"/>
    <col width="11.625" customWidth="1" style="206" min="258" max="258"/>
    <col width="10.4375" customWidth="1" style="206" min="259" max="259"/>
    <col width="8.1875" customWidth="1" style="206" min="260" max="260"/>
    <col width="7.875" customWidth="1" style="206" min="261" max="261"/>
    <col width="4.125" customWidth="1" style="206" min="262" max="262"/>
    <col width="9" customWidth="1" style="206" min="263" max="263"/>
    <col width="9.5" customWidth="1" style="206" min="264" max="264"/>
    <col width="9" customWidth="1" style="206" min="265" max="511"/>
    <col width="10.3125" customWidth="1" style="206" min="512" max="512"/>
    <col width="19.8125" customWidth="1" style="206" min="513" max="513"/>
    <col width="11.625" customWidth="1" style="206" min="514" max="514"/>
    <col width="10.4375" customWidth="1" style="206" min="515" max="515"/>
    <col width="8.1875" customWidth="1" style="206" min="516" max="516"/>
    <col width="7.875" customWidth="1" style="206" min="517" max="517"/>
    <col width="4.125" customWidth="1" style="206" min="518" max="518"/>
    <col width="9" customWidth="1" style="206" min="519" max="519"/>
    <col width="9.5" customWidth="1" style="206" min="520" max="520"/>
    <col width="9" customWidth="1" style="206" min="521" max="767"/>
    <col width="10.3125" customWidth="1" style="206" min="768" max="768"/>
    <col width="19.8125" customWidth="1" style="206" min="769" max="769"/>
    <col width="11.625" customWidth="1" style="206" min="770" max="770"/>
    <col width="10.4375" customWidth="1" style="206" min="771" max="771"/>
    <col width="8.1875" customWidth="1" style="206" min="772" max="772"/>
    <col width="7.875" customWidth="1" style="206" min="773" max="773"/>
    <col width="4.125" customWidth="1" style="206" min="774" max="774"/>
    <col width="9" customWidth="1" style="206" min="775" max="775"/>
    <col width="9.5" customWidth="1" style="206" min="776" max="776"/>
    <col width="9" customWidth="1" style="206" min="777" max="1023"/>
    <col width="10.3125" customWidth="1" style="206" min="1024" max="1024"/>
    <col width="19.8125" customWidth="1" style="206" min="1025" max="1025"/>
    <col width="11.625" customWidth="1" style="206" min="1026" max="1026"/>
    <col width="10.4375" customWidth="1" style="206" min="1027" max="1027"/>
    <col width="8.1875" customWidth="1" style="206" min="1028" max="1028"/>
    <col width="7.875" customWidth="1" style="206" min="1029" max="1029"/>
    <col width="4.125" customWidth="1" style="206" min="1030" max="1030"/>
    <col width="9" customWidth="1" style="206" min="1031" max="1031"/>
    <col width="9.5" customWidth="1" style="206" min="1032" max="1032"/>
    <col width="9" customWidth="1" style="206" min="1033" max="1279"/>
    <col width="10.3125" customWidth="1" style="206" min="1280" max="1280"/>
    <col width="19.8125" customWidth="1" style="206" min="1281" max="1281"/>
    <col width="11.625" customWidth="1" style="206" min="1282" max="1282"/>
    <col width="10.4375" customWidth="1" style="206" min="1283" max="1283"/>
    <col width="8.1875" customWidth="1" style="206" min="1284" max="1284"/>
    <col width="7.875" customWidth="1" style="206" min="1285" max="1285"/>
    <col width="4.125" customWidth="1" style="206" min="1286" max="1286"/>
    <col width="9" customWidth="1" style="206" min="1287" max="1287"/>
    <col width="9.5" customWidth="1" style="206" min="1288" max="1288"/>
    <col width="9" customWidth="1" style="206" min="1289" max="1535"/>
    <col width="10.3125" customWidth="1" style="206" min="1536" max="1536"/>
    <col width="19.8125" customWidth="1" style="206" min="1537" max="1537"/>
    <col width="11.625" customWidth="1" style="206" min="1538" max="1538"/>
    <col width="10.4375" customWidth="1" style="206" min="1539" max="1539"/>
    <col width="8.1875" customWidth="1" style="206" min="1540" max="1540"/>
    <col width="7.875" customWidth="1" style="206" min="1541" max="1541"/>
    <col width="4.125" customWidth="1" style="206" min="1542" max="1542"/>
    <col width="9" customWidth="1" style="206" min="1543" max="1543"/>
    <col width="9.5" customWidth="1" style="206" min="1544" max="1544"/>
    <col width="9" customWidth="1" style="206" min="1545" max="1791"/>
    <col width="10.3125" customWidth="1" style="206" min="1792" max="1792"/>
    <col width="19.8125" customWidth="1" style="206" min="1793" max="1793"/>
    <col width="11.625" customWidth="1" style="206" min="1794" max="1794"/>
    <col width="10.4375" customWidth="1" style="206" min="1795" max="1795"/>
    <col width="8.1875" customWidth="1" style="206" min="1796" max="1796"/>
    <col width="7.875" customWidth="1" style="206" min="1797" max="1797"/>
    <col width="4.125" customWidth="1" style="206" min="1798" max="1798"/>
    <col width="9" customWidth="1" style="206" min="1799" max="1799"/>
    <col width="9.5" customWidth="1" style="206" min="1800" max="1800"/>
    <col width="9" customWidth="1" style="206" min="1801" max="2047"/>
    <col width="10.3125" customWidth="1" style="206" min="2048" max="2048"/>
    <col width="19.8125" customWidth="1" style="206" min="2049" max="2049"/>
    <col width="11.625" customWidth="1" style="206" min="2050" max="2050"/>
    <col width="10.4375" customWidth="1" style="206" min="2051" max="2051"/>
    <col width="8.1875" customWidth="1" style="206" min="2052" max="2052"/>
    <col width="7.875" customWidth="1" style="206" min="2053" max="2053"/>
    <col width="4.125" customWidth="1" style="206" min="2054" max="2054"/>
    <col width="9" customWidth="1" style="206" min="2055" max="2055"/>
    <col width="9.5" customWidth="1" style="206" min="2056" max="2056"/>
    <col width="9" customWidth="1" style="206" min="2057" max="2303"/>
    <col width="10.3125" customWidth="1" style="206" min="2304" max="2304"/>
    <col width="19.8125" customWidth="1" style="206" min="2305" max="2305"/>
    <col width="11.625" customWidth="1" style="206" min="2306" max="2306"/>
    <col width="10.4375" customWidth="1" style="206" min="2307" max="2307"/>
    <col width="8.1875" customWidth="1" style="206" min="2308" max="2308"/>
    <col width="7.875" customWidth="1" style="206" min="2309" max="2309"/>
    <col width="4.125" customWidth="1" style="206" min="2310" max="2310"/>
    <col width="9" customWidth="1" style="206" min="2311" max="2311"/>
    <col width="9.5" customWidth="1" style="206" min="2312" max="2312"/>
    <col width="9" customWidth="1" style="206" min="2313" max="2559"/>
    <col width="10.3125" customWidth="1" style="206" min="2560" max="2560"/>
    <col width="19.8125" customWidth="1" style="206" min="2561" max="2561"/>
    <col width="11.625" customWidth="1" style="206" min="2562" max="2562"/>
    <col width="10.4375" customWidth="1" style="206" min="2563" max="2563"/>
    <col width="8.1875" customWidth="1" style="206" min="2564" max="2564"/>
    <col width="7.875" customWidth="1" style="206" min="2565" max="2565"/>
    <col width="4.125" customWidth="1" style="206" min="2566" max="2566"/>
    <col width="9" customWidth="1" style="206" min="2567" max="2567"/>
    <col width="9.5" customWidth="1" style="206" min="2568" max="2568"/>
    <col width="9" customWidth="1" style="206" min="2569" max="2815"/>
    <col width="10.3125" customWidth="1" style="206" min="2816" max="2816"/>
    <col width="19.8125" customWidth="1" style="206" min="2817" max="2817"/>
    <col width="11.625" customWidth="1" style="206" min="2818" max="2818"/>
    <col width="10.4375" customWidth="1" style="206" min="2819" max="2819"/>
    <col width="8.1875" customWidth="1" style="206" min="2820" max="2820"/>
    <col width="7.875" customWidth="1" style="206" min="2821" max="2821"/>
    <col width="4.125" customWidth="1" style="206" min="2822" max="2822"/>
    <col width="9" customWidth="1" style="206" min="2823" max="2823"/>
    <col width="9.5" customWidth="1" style="206" min="2824" max="2824"/>
    <col width="9" customWidth="1" style="206" min="2825" max="3071"/>
    <col width="10.3125" customWidth="1" style="206" min="3072" max="3072"/>
    <col width="19.8125" customWidth="1" style="206" min="3073" max="3073"/>
    <col width="11.625" customWidth="1" style="206" min="3074" max="3074"/>
    <col width="10.4375" customWidth="1" style="206" min="3075" max="3075"/>
    <col width="8.1875" customWidth="1" style="206" min="3076" max="3076"/>
    <col width="7.875" customWidth="1" style="206" min="3077" max="3077"/>
    <col width="4.125" customWidth="1" style="206" min="3078" max="3078"/>
    <col width="9" customWidth="1" style="206" min="3079" max="3079"/>
    <col width="9.5" customWidth="1" style="206" min="3080" max="3080"/>
    <col width="9" customWidth="1" style="206" min="3081" max="3327"/>
    <col width="10.3125" customWidth="1" style="206" min="3328" max="3328"/>
    <col width="19.8125" customWidth="1" style="206" min="3329" max="3329"/>
    <col width="11.625" customWidth="1" style="206" min="3330" max="3330"/>
    <col width="10.4375" customWidth="1" style="206" min="3331" max="3331"/>
    <col width="8.1875" customWidth="1" style="206" min="3332" max="3332"/>
    <col width="7.875" customWidth="1" style="206" min="3333" max="3333"/>
    <col width="4.125" customWidth="1" style="206" min="3334" max="3334"/>
    <col width="9" customWidth="1" style="206" min="3335" max="3335"/>
    <col width="9.5" customWidth="1" style="206" min="3336" max="3336"/>
    <col width="9" customWidth="1" style="206" min="3337" max="3583"/>
    <col width="10.3125" customWidth="1" style="206" min="3584" max="3584"/>
    <col width="19.8125" customWidth="1" style="206" min="3585" max="3585"/>
    <col width="11.625" customWidth="1" style="206" min="3586" max="3586"/>
    <col width="10.4375" customWidth="1" style="206" min="3587" max="3587"/>
    <col width="8.1875" customWidth="1" style="206" min="3588" max="3588"/>
    <col width="7.875" customWidth="1" style="206" min="3589" max="3589"/>
    <col width="4.125" customWidth="1" style="206" min="3590" max="3590"/>
    <col width="9" customWidth="1" style="206" min="3591" max="3591"/>
    <col width="9.5" customWidth="1" style="206" min="3592" max="3592"/>
    <col width="9" customWidth="1" style="206" min="3593" max="3839"/>
    <col width="10.3125" customWidth="1" style="206" min="3840" max="3840"/>
    <col width="19.8125" customWidth="1" style="206" min="3841" max="3841"/>
    <col width="11.625" customWidth="1" style="206" min="3842" max="3842"/>
    <col width="10.4375" customWidth="1" style="206" min="3843" max="3843"/>
    <col width="8.1875" customWidth="1" style="206" min="3844" max="3844"/>
    <col width="7.875" customWidth="1" style="206" min="3845" max="3845"/>
    <col width="4.125" customWidth="1" style="206" min="3846" max="3846"/>
    <col width="9" customWidth="1" style="206" min="3847" max="3847"/>
    <col width="9.5" customWidth="1" style="206" min="3848" max="3848"/>
    <col width="9" customWidth="1" style="206" min="3849" max="4095"/>
    <col width="10.3125" customWidth="1" style="206" min="4096" max="4096"/>
    <col width="19.8125" customWidth="1" style="206" min="4097" max="4097"/>
    <col width="11.625" customWidth="1" style="206" min="4098" max="4098"/>
    <col width="10.4375" customWidth="1" style="206" min="4099" max="4099"/>
    <col width="8.1875" customWidth="1" style="206" min="4100" max="4100"/>
    <col width="7.875" customWidth="1" style="206" min="4101" max="4101"/>
    <col width="4.125" customWidth="1" style="206" min="4102" max="4102"/>
    <col width="9" customWidth="1" style="206" min="4103" max="4103"/>
    <col width="9.5" customWidth="1" style="206" min="4104" max="4104"/>
    <col width="9" customWidth="1" style="206" min="4105" max="4351"/>
    <col width="10.3125" customWidth="1" style="206" min="4352" max="4352"/>
    <col width="19.8125" customWidth="1" style="206" min="4353" max="4353"/>
    <col width="11.625" customWidth="1" style="206" min="4354" max="4354"/>
    <col width="10.4375" customWidth="1" style="206" min="4355" max="4355"/>
    <col width="8.1875" customWidth="1" style="206" min="4356" max="4356"/>
    <col width="7.875" customWidth="1" style="206" min="4357" max="4357"/>
    <col width="4.125" customWidth="1" style="206" min="4358" max="4358"/>
    <col width="9" customWidth="1" style="206" min="4359" max="4359"/>
    <col width="9.5" customWidth="1" style="206" min="4360" max="4360"/>
    <col width="9" customWidth="1" style="206" min="4361" max="4607"/>
    <col width="10.3125" customWidth="1" style="206" min="4608" max="4608"/>
    <col width="19.8125" customWidth="1" style="206" min="4609" max="4609"/>
    <col width="11.625" customWidth="1" style="206" min="4610" max="4610"/>
    <col width="10.4375" customWidth="1" style="206" min="4611" max="4611"/>
    <col width="8.1875" customWidth="1" style="206" min="4612" max="4612"/>
    <col width="7.875" customWidth="1" style="206" min="4613" max="4613"/>
    <col width="4.125" customWidth="1" style="206" min="4614" max="4614"/>
    <col width="9" customWidth="1" style="206" min="4615" max="4615"/>
    <col width="9.5" customWidth="1" style="206" min="4616" max="4616"/>
    <col width="9" customWidth="1" style="206" min="4617" max="4863"/>
    <col width="10.3125" customWidth="1" style="206" min="4864" max="4864"/>
    <col width="19.8125" customWidth="1" style="206" min="4865" max="4865"/>
    <col width="11.625" customWidth="1" style="206" min="4866" max="4866"/>
    <col width="10.4375" customWidth="1" style="206" min="4867" max="4867"/>
    <col width="8.1875" customWidth="1" style="206" min="4868" max="4868"/>
    <col width="7.875" customWidth="1" style="206" min="4869" max="4869"/>
    <col width="4.125" customWidth="1" style="206" min="4870" max="4870"/>
    <col width="9" customWidth="1" style="206" min="4871" max="4871"/>
    <col width="9.5" customWidth="1" style="206" min="4872" max="4872"/>
    <col width="9" customWidth="1" style="206" min="4873" max="5119"/>
    <col width="10.3125" customWidth="1" style="206" min="5120" max="5120"/>
    <col width="19.8125" customWidth="1" style="206" min="5121" max="5121"/>
    <col width="11.625" customWidth="1" style="206" min="5122" max="5122"/>
    <col width="10.4375" customWidth="1" style="206" min="5123" max="5123"/>
    <col width="8.1875" customWidth="1" style="206" min="5124" max="5124"/>
    <col width="7.875" customWidth="1" style="206" min="5125" max="5125"/>
    <col width="4.125" customWidth="1" style="206" min="5126" max="5126"/>
    <col width="9" customWidth="1" style="206" min="5127" max="5127"/>
    <col width="9.5" customWidth="1" style="206" min="5128" max="5128"/>
    <col width="9" customWidth="1" style="206" min="5129" max="5375"/>
    <col width="10.3125" customWidth="1" style="206" min="5376" max="5376"/>
    <col width="19.8125" customWidth="1" style="206" min="5377" max="5377"/>
    <col width="11.625" customWidth="1" style="206" min="5378" max="5378"/>
    <col width="10.4375" customWidth="1" style="206" min="5379" max="5379"/>
    <col width="8.1875" customWidth="1" style="206" min="5380" max="5380"/>
    <col width="7.875" customWidth="1" style="206" min="5381" max="5381"/>
    <col width="4.125" customWidth="1" style="206" min="5382" max="5382"/>
    <col width="9" customWidth="1" style="206" min="5383" max="5383"/>
    <col width="9.5" customWidth="1" style="206" min="5384" max="5384"/>
    <col width="9" customWidth="1" style="206" min="5385" max="5631"/>
    <col width="10.3125" customWidth="1" style="206" min="5632" max="5632"/>
    <col width="19.8125" customWidth="1" style="206" min="5633" max="5633"/>
    <col width="11.625" customWidth="1" style="206" min="5634" max="5634"/>
    <col width="10.4375" customWidth="1" style="206" min="5635" max="5635"/>
    <col width="8.1875" customWidth="1" style="206" min="5636" max="5636"/>
    <col width="7.875" customWidth="1" style="206" min="5637" max="5637"/>
    <col width="4.125" customWidth="1" style="206" min="5638" max="5638"/>
    <col width="9" customWidth="1" style="206" min="5639" max="5639"/>
    <col width="9.5" customWidth="1" style="206" min="5640" max="5640"/>
    <col width="9" customWidth="1" style="206" min="5641" max="5887"/>
    <col width="10.3125" customWidth="1" style="206" min="5888" max="5888"/>
    <col width="19.8125" customWidth="1" style="206" min="5889" max="5889"/>
    <col width="11.625" customWidth="1" style="206" min="5890" max="5890"/>
    <col width="10.4375" customWidth="1" style="206" min="5891" max="5891"/>
    <col width="8.1875" customWidth="1" style="206" min="5892" max="5892"/>
    <col width="7.875" customWidth="1" style="206" min="5893" max="5893"/>
    <col width="4.125" customWidth="1" style="206" min="5894" max="5894"/>
    <col width="9" customWidth="1" style="206" min="5895" max="5895"/>
    <col width="9.5" customWidth="1" style="206" min="5896" max="5896"/>
    <col width="9" customWidth="1" style="206" min="5897" max="6143"/>
    <col width="10.3125" customWidth="1" style="206" min="6144" max="6144"/>
    <col width="19.8125" customWidth="1" style="206" min="6145" max="6145"/>
    <col width="11.625" customWidth="1" style="206" min="6146" max="6146"/>
    <col width="10.4375" customWidth="1" style="206" min="6147" max="6147"/>
    <col width="8.1875" customWidth="1" style="206" min="6148" max="6148"/>
    <col width="7.875" customWidth="1" style="206" min="6149" max="6149"/>
    <col width="4.125" customWidth="1" style="206" min="6150" max="6150"/>
    <col width="9" customWidth="1" style="206" min="6151" max="6151"/>
    <col width="9.5" customWidth="1" style="206" min="6152" max="6152"/>
    <col width="9" customWidth="1" style="206" min="6153" max="6399"/>
    <col width="10.3125" customWidth="1" style="206" min="6400" max="6400"/>
    <col width="19.8125" customWidth="1" style="206" min="6401" max="6401"/>
    <col width="11.625" customWidth="1" style="206" min="6402" max="6402"/>
    <col width="10.4375" customWidth="1" style="206" min="6403" max="6403"/>
    <col width="8.1875" customWidth="1" style="206" min="6404" max="6404"/>
    <col width="7.875" customWidth="1" style="206" min="6405" max="6405"/>
    <col width="4.125" customWidth="1" style="206" min="6406" max="6406"/>
    <col width="9" customWidth="1" style="206" min="6407" max="6407"/>
    <col width="9.5" customWidth="1" style="206" min="6408" max="6408"/>
    <col width="9" customWidth="1" style="206" min="6409" max="6655"/>
    <col width="10.3125" customWidth="1" style="206" min="6656" max="6656"/>
    <col width="19.8125" customWidth="1" style="206" min="6657" max="6657"/>
    <col width="11.625" customWidth="1" style="206" min="6658" max="6658"/>
    <col width="10.4375" customWidth="1" style="206" min="6659" max="6659"/>
    <col width="8.1875" customWidth="1" style="206" min="6660" max="6660"/>
    <col width="7.875" customWidth="1" style="206" min="6661" max="6661"/>
    <col width="4.125" customWidth="1" style="206" min="6662" max="6662"/>
    <col width="9" customWidth="1" style="206" min="6663" max="6663"/>
    <col width="9.5" customWidth="1" style="206" min="6664" max="6664"/>
    <col width="9" customWidth="1" style="206" min="6665" max="6911"/>
    <col width="10.3125" customWidth="1" style="206" min="6912" max="6912"/>
    <col width="19.8125" customWidth="1" style="206" min="6913" max="6913"/>
    <col width="11.625" customWidth="1" style="206" min="6914" max="6914"/>
    <col width="10.4375" customWidth="1" style="206" min="6915" max="6915"/>
    <col width="8.1875" customWidth="1" style="206" min="6916" max="6916"/>
    <col width="7.875" customWidth="1" style="206" min="6917" max="6917"/>
    <col width="4.125" customWidth="1" style="206" min="6918" max="6918"/>
    <col width="9" customWidth="1" style="206" min="6919" max="6919"/>
    <col width="9.5" customWidth="1" style="206" min="6920" max="6920"/>
    <col width="9" customWidth="1" style="206" min="6921" max="7167"/>
    <col width="10.3125" customWidth="1" style="206" min="7168" max="7168"/>
    <col width="19.8125" customWidth="1" style="206" min="7169" max="7169"/>
    <col width="11.625" customWidth="1" style="206" min="7170" max="7170"/>
    <col width="10.4375" customWidth="1" style="206" min="7171" max="7171"/>
    <col width="8.1875" customWidth="1" style="206" min="7172" max="7172"/>
    <col width="7.875" customWidth="1" style="206" min="7173" max="7173"/>
    <col width="4.125" customWidth="1" style="206" min="7174" max="7174"/>
    <col width="9" customWidth="1" style="206" min="7175" max="7175"/>
    <col width="9.5" customWidth="1" style="206" min="7176" max="7176"/>
    <col width="9" customWidth="1" style="206" min="7177" max="7423"/>
    <col width="10.3125" customWidth="1" style="206" min="7424" max="7424"/>
    <col width="19.8125" customWidth="1" style="206" min="7425" max="7425"/>
    <col width="11.625" customWidth="1" style="206" min="7426" max="7426"/>
    <col width="10.4375" customWidth="1" style="206" min="7427" max="7427"/>
    <col width="8.1875" customWidth="1" style="206" min="7428" max="7428"/>
    <col width="7.875" customWidth="1" style="206" min="7429" max="7429"/>
    <col width="4.125" customWidth="1" style="206" min="7430" max="7430"/>
    <col width="9" customWidth="1" style="206" min="7431" max="7431"/>
    <col width="9.5" customWidth="1" style="206" min="7432" max="7432"/>
    <col width="9" customWidth="1" style="206" min="7433" max="7679"/>
    <col width="10.3125" customWidth="1" style="206" min="7680" max="7680"/>
    <col width="19.8125" customWidth="1" style="206" min="7681" max="7681"/>
    <col width="11.625" customWidth="1" style="206" min="7682" max="7682"/>
    <col width="10.4375" customWidth="1" style="206" min="7683" max="7683"/>
    <col width="8.1875" customWidth="1" style="206" min="7684" max="7684"/>
    <col width="7.875" customWidth="1" style="206" min="7685" max="7685"/>
    <col width="4.125" customWidth="1" style="206" min="7686" max="7686"/>
    <col width="9" customWidth="1" style="206" min="7687" max="7687"/>
    <col width="9.5" customWidth="1" style="206" min="7688" max="7688"/>
    <col width="9" customWidth="1" style="206" min="7689" max="7935"/>
    <col width="10.3125" customWidth="1" style="206" min="7936" max="7936"/>
    <col width="19.8125" customWidth="1" style="206" min="7937" max="7937"/>
    <col width="11.625" customWidth="1" style="206" min="7938" max="7938"/>
    <col width="10.4375" customWidth="1" style="206" min="7939" max="7939"/>
    <col width="8.1875" customWidth="1" style="206" min="7940" max="7940"/>
    <col width="7.875" customWidth="1" style="206" min="7941" max="7941"/>
    <col width="4.125" customWidth="1" style="206" min="7942" max="7942"/>
    <col width="9" customWidth="1" style="206" min="7943" max="7943"/>
    <col width="9.5" customWidth="1" style="206" min="7944" max="7944"/>
    <col width="9" customWidth="1" style="206" min="7945" max="8191"/>
    <col width="10.3125" customWidth="1" style="206" min="8192" max="8192"/>
    <col width="19.8125" customWidth="1" style="206" min="8193" max="8193"/>
    <col width="11.625" customWidth="1" style="206" min="8194" max="8194"/>
    <col width="10.4375" customWidth="1" style="206" min="8195" max="8195"/>
    <col width="8.1875" customWidth="1" style="206" min="8196" max="8196"/>
    <col width="7.875" customWidth="1" style="206" min="8197" max="8197"/>
    <col width="4.125" customWidth="1" style="206" min="8198" max="8198"/>
    <col width="9" customWidth="1" style="206" min="8199" max="8199"/>
    <col width="9.5" customWidth="1" style="206" min="8200" max="8200"/>
    <col width="9" customWidth="1" style="206" min="8201" max="8447"/>
    <col width="10.3125" customWidth="1" style="206" min="8448" max="8448"/>
    <col width="19.8125" customWidth="1" style="206" min="8449" max="8449"/>
    <col width="11.625" customWidth="1" style="206" min="8450" max="8450"/>
    <col width="10.4375" customWidth="1" style="206" min="8451" max="8451"/>
    <col width="8.1875" customWidth="1" style="206" min="8452" max="8452"/>
    <col width="7.875" customWidth="1" style="206" min="8453" max="8453"/>
    <col width="4.125" customWidth="1" style="206" min="8454" max="8454"/>
    <col width="9" customWidth="1" style="206" min="8455" max="8455"/>
    <col width="9.5" customWidth="1" style="206" min="8456" max="8456"/>
    <col width="9" customWidth="1" style="206" min="8457" max="8703"/>
    <col width="10.3125" customWidth="1" style="206" min="8704" max="8704"/>
    <col width="19.8125" customWidth="1" style="206" min="8705" max="8705"/>
    <col width="11.625" customWidth="1" style="206" min="8706" max="8706"/>
    <col width="10.4375" customWidth="1" style="206" min="8707" max="8707"/>
    <col width="8.1875" customWidth="1" style="206" min="8708" max="8708"/>
    <col width="7.875" customWidth="1" style="206" min="8709" max="8709"/>
    <col width="4.125" customWidth="1" style="206" min="8710" max="8710"/>
    <col width="9" customWidth="1" style="206" min="8711" max="8711"/>
    <col width="9.5" customWidth="1" style="206" min="8712" max="8712"/>
    <col width="9" customWidth="1" style="206" min="8713" max="8959"/>
    <col width="10.3125" customWidth="1" style="206" min="8960" max="8960"/>
    <col width="19.8125" customWidth="1" style="206" min="8961" max="8961"/>
    <col width="11.625" customWidth="1" style="206" min="8962" max="8962"/>
    <col width="10.4375" customWidth="1" style="206" min="8963" max="8963"/>
    <col width="8.1875" customWidth="1" style="206" min="8964" max="8964"/>
    <col width="7.875" customWidth="1" style="206" min="8965" max="8965"/>
    <col width="4.125" customWidth="1" style="206" min="8966" max="8966"/>
    <col width="9" customWidth="1" style="206" min="8967" max="8967"/>
    <col width="9.5" customWidth="1" style="206" min="8968" max="8968"/>
    <col width="9" customWidth="1" style="206" min="8969" max="9215"/>
    <col width="10.3125" customWidth="1" style="206" min="9216" max="9216"/>
    <col width="19.8125" customWidth="1" style="206" min="9217" max="9217"/>
    <col width="11.625" customWidth="1" style="206" min="9218" max="9218"/>
    <col width="10.4375" customWidth="1" style="206" min="9219" max="9219"/>
    <col width="8.1875" customWidth="1" style="206" min="9220" max="9220"/>
    <col width="7.875" customWidth="1" style="206" min="9221" max="9221"/>
    <col width="4.125" customWidth="1" style="206" min="9222" max="9222"/>
    <col width="9" customWidth="1" style="206" min="9223" max="9223"/>
    <col width="9.5" customWidth="1" style="206" min="9224" max="9224"/>
    <col width="9" customWidth="1" style="206" min="9225" max="9471"/>
    <col width="10.3125" customWidth="1" style="206" min="9472" max="9472"/>
    <col width="19.8125" customWidth="1" style="206" min="9473" max="9473"/>
    <col width="11.625" customWidth="1" style="206" min="9474" max="9474"/>
    <col width="10.4375" customWidth="1" style="206" min="9475" max="9475"/>
    <col width="8.1875" customWidth="1" style="206" min="9476" max="9476"/>
    <col width="7.875" customWidth="1" style="206" min="9477" max="9477"/>
    <col width="4.125" customWidth="1" style="206" min="9478" max="9478"/>
    <col width="9" customWidth="1" style="206" min="9479" max="9479"/>
    <col width="9.5" customWidth="1" style="206" min="9480" max="9480"/>
    <col width="9" customWidth="1" style="206" min="9481" max="9727"/>
    <col width="10.3125" customWidth="1" style="206" min="9728" max="9728"/>
    <col width="19.8125" customWidth="1" style="206" min="9729" max="9729"/>
    <col width="11.625" customWidth="1" style="206" min="9730" max="9730"/>
    <col width="10.4375" customWidth="1" style="206" min="9731" max="9731"/>
    <col width="8.1875" customWidth="1" style="206" min="9732" max="9732"/>
    <col width="7.875" customWidth="1" style="206" min="9733" max="9733"/>
    <col width="4.125" customWidth="1" style="206" min="9734" max="9734"/>
    <col width="9" customWidth="1" style="206" min="9735" max="9735"/>
    <col width="9.5" customWidth="1" style="206" min="9736" max="9736"/>
    <col width="9" customWidth="1" style="206" min="9737" max="9983"/>
    <col width="10.3125" customWidth="1" style="206" min="9984" max="9984"/>
    <col width="19.8125" customWidth="1" style="206" min="9985" max="9985"/>
    <col width="11.625" customWidth="1" style="206" min="9986" max="9986"/>
    <col width="10.4375" customWidth="1" style="206" min="9987" max="9987"/>
    <col width="8.1875" customWidth="1" style="206" min="9988" max="9988"/>
    <col width="7.875" customWidth="1" style="206" min="9989" max="9989"/>
    <col width="4.125" customWidth="1" style="206" min="9990" max="9990"/>
    <col width="9" customWidth="1" style="206" min="9991" max="9991"/>
    <col width="9.5" customWidth="1" style="206" min="9992" max="9992"/>
    <col width="9" customWidth="1" style="206" min="9993" max="10239"/>
    <col width="10.3125" customWidth="1" style="206" min="10240" max="10240"/>
    <col width="19.8125" customWidth="1" style="206" min="10241" max="10241"/>
    <col width="11.625" customWidth="1" style="206" min="10242" max="10242"/>
    <col width="10.4375" customWidth="1" style="206" min="10243" max="10243"/>
    <col width="8.1875" customWidth="1" style="206" min="10244" max="10244"/>
    <col width="7.875" customWidth="1" style="206" min="10245" max="10245"/>
    <col width="4.125" customWidth="1" style="206" min="10246" max="10246"/>
    <col width="9" customWidth="1" style="206" min="10247" max="10247"/>
    <col width="9.5" customWidth="1" style="206" min="10248" max="10248"/>
    <col width="9" customWidth="1" style="206" min="10249" max="10495"/>
    <col width="10.3125" customWidth="1" style="206" min="10496" max="10496"/>
    <col width="19.8125" customWidth="1" style="206" min="10497" max="10497"/>
    <col width="11.625" customWidth="1" style="206" min="10498" max="10498"/>
    <col width="10.4375" customWidth="1" style="206" min="10499" max="10499"/>
    <col width="8.1875" customWidth="1" style="206" min="10500" max="10500"/>
    <col width="7.875" customWidth="1" style="206" min="10501" max="10501"/>
    <col width="4.125" customWidth="1" style="206" min="10502" max="10502"/>
    <col width="9" customWidth="1" style="206" min="10503" max="10503"/>
    <col width="9.5" customWidth="1" style="206" min="10504" max="10504"/>
    <col width="9" customWidth="1" style="206" min="10505" max="10751"/>
    <col width="10.3125" customWidth="1" style="206" min="10752" max="10752"/>
    <col width="19.8125" customWidth="1" style="206" min="10753" max="10753"/>
    <col width="11.625" customWidth="1" style="206" min="10754" max="10754"/>
    <col width="10.4375" customWidth="1" style="206" min="10755" max="10755"/>
    <col width="8.1875" customWidth="1" style="206" min="10756" max="10756"/>
    <col width="7.875" customWidth="1" style="206" min="10757" max="10757"/>
    <col width="4.125" customWidth="1" style="206" min="10758" max="10758"/>
    <col width="9" customWidth="1" style="206" min="10759" max="10759"/>
    <col width="9.5" customWidth="1" style="206" min="10760" max="10760"/>
    <col width="9" customWidth="1" style="206" min="10761" max="11007"/>
    <col width="10.3125" customWidth="1" style="206" min="11008" max="11008"/>
    <col width="19.8125" customWidth="1" style="206" min="11009" max="11009"/>
    <col width="11.625" customWidth="1" style="206" min="11010" max="11010"/>
    <col width="10.4375" customWidth="1" style="206" min="11011" max="11011"/>
    <col width="8.1875" customWidth="1" style="206" min="11012" max="11012"/>
    <col width="7.875" customWidth="1" style="206" min="11013" max="11013"/>
    <col width="4.125" customWidth="1" style="206" min="11014" max="11014"/>
    <col width="9" customWidth="1" style="206" min="11015" max="11015"/>
    <col width="9.5" customWidth="1" style="206" min="11016" max="11016"/>
    <col width="9" customWidth="1" style="206" min="11017" max="11263"/>
    <col width="10.3125" customWidth="1" style="206" min="11264" max="11264"/>
    <col width="19.8125" customWidth="1" style="206" min="11265" max="11265"/>
    <col width="11.625" customWidth="1" style="206" min="11266" max="11266"/>
    <col width="10.4375" customWidth="1" style="206" min="11267" max="11267"/>
    <col width="8.1875" customWidth="1" style="206" min="11268" max="11268"/>
    <col width="7.875" customWidth="1" style="206" min="11269" max="11269"/>
    <col width="4.125" customWidth="1" style="206" min="11270" max="11270"/>
    <col width="9" customWidth="1" style="206" min="11271" max="11271"/>
    <col width="9.5" customWidth="1" style="206" min="11272" max="11272"/>
    <col width="9" customWidth="1" style="206" min="11273" max="11519"/>
    <col width="10.3125" customWidth="1" style="206" min="11520" max="11520"/>
    <col width="19.8125" customWidth="1" style="206" min="11521" max="11521"/>
    <col width="11.625" customWidth="1" style="206" min="11522" max="11522"/>
    <col width="10.4375" customWidth="1" style="206" min="11523" max="11523"/>
    <col width="8.1875" customWidth="1" style="206" min="11524" max="11524"/>
    <col width="7.875" customWidth="1" style="206" min="11525" max="11525"/>
    <col width="4.125" customWidth="1" style="206" min="11526" max="11526"/>
    <col width="9" customWidth="1" style="206" min="11527" max="11527"/>
    <col width="9.5" customWidth="1" style="206" min="11528" max="11528"/>
    <col width="9" customWidth="1" style="206" min="11529" max="11775"/>
    <col width="10.3125" customWidth="1" style="206" min="11776" max="11776"/>
    <col width="19.8125" customWidth="1" style="206" min="11777" max="11777"/>
    <col width="11.625" customWidth="1" style="206" min="11778" max="11778"/>
    <col width="10.4375" customWidth="1" style="206" min="11779" max="11779"/>
    <col width="8.1875" customWidth="1" style="206" min="11780" max="11780"/>
    <col width="7.875" customWidth="1" style="206" min="11781" max="11781"/>
    <col width="4.125" customWidth="1" style="206" min="11782" max="11782"/>
    <col width="9" customWidth="1" style="206" min="11783" max="11783"/>
    <col width="9.5" customWidth="1" style="206" min="11784" max="11784"/>
    <col width="9" customWidth="1" style="206" min="11785" max="12031"/>
    <col width="10.3125" customWidth="1" style="206" min="12032" max="12032"/>
    <col width="19.8125" customWidth="1" style="206" min="12033" max="12033"/>
    <col width="11.625" customWidth="1" style="206" min="12034" max="12034"/>
    <col width="10.4375" customWidth="1" style="206" min="12035" max="12035"/>
    <col width="8.1875" customWidth="1" style="206" min="12036" max="12036"/>
    <col width="7.875" customWidth="1" style="206" min="12037" max="12037"/>
    <col width="4.125" customWidth="1" style="206" min="12038" max="12038"/>
    <col width="9" customWidth="1" style="206" min="12039" max="12039"/>
    <col width="9.5" customWidth="1" style="206" min="12040" max="12040"/>
    <col width="9" customWidth="1" style="206" min="12041" max="12287"/>
    <col width="10.3125" customWidth="1" style="206" min="12288" max="12288"/>
    <col width="19.8125" customWidth="1" style="206" min="12289" max="12289"/>
    <col width="11.625" customWidth="1" style="206" min="12290" max="12290"/>
    <col width="10.4375" customWidth="1" style="206" min="12291" max="12291"/>
    <col width="8.1875" customWidth="1" style="206" min="12292" max="12292"/>
    <col width="7.875" customWidth="1" style="206" min="12293" max="12293"/>
    <col width="4.125" customWidth="1" style="206" min="12294" max="12294"/>
    <col width="9" customWidth="1" style="206" min="12295" max="12295"/>
    <col width="9.5" customWidth="1" style="206" min="12296" max="12296"/>
    <col width="9" customWidth="1" style="206" min="12297" max="12543"/>
    <col width="10.3125" customWidth="1" style="206" min="12544" max="12544"/>
    <col width="19.8125" customWidth="1" style="206" min="12545" max="12545"/>
    <col width="11.625" customWidth="1" style="206" min="12546" max="12546"/>
    <col width="10.4375" customWidth="1" style="206" min="12547" max="12547"/>
    <col width="8.1875" customWidth="1" style="206" min="12548" max="12548"/>
    <col width="7.875" customWidth="1" style="206" min="12549" max="12549"/>
    <col width="4.125" customWidth="1" style="206" min="12550" max="12550"/>
    <col width="9" customWidth="1" style="206" min="12551" max="12551"/>
    <col width="9.5" customWidth="1" style="206" min="12552" max="12552"/>
    <col width="9" customWidth="1" style="206" min="12553" max="12799"/>
    <col width="10.3125" customWidth="1" style="206" min="12800" max="12800"/>
    <col width="19.8125" customWidth="1" style="206" min="12801" max="12801"/>
    <col width="11.625" customWidth="1" style="206" min="12802" max="12802"/>
    <col width="10.4375" customWidth="1" style="206" min="12803" max="12803"/>
    <col width="8.1875" customWidth="1" style="206" min="12804" max="12804"/>
    <col width="7.875" customWidth="1" style="206" min="12805" max="12805"/>
    <col width="4.125" customWidth="1" style="206" min="12806" max="12806"/>
    <col width="9" customWidth="1" style="206" min="12807" max="12807"/>
    <col width="9.5" customWidth="1" style="206" min="12808" max="12808"/>
    <col width="9" customWidth="1" style="206" min="12809" max="13055"/>
    <col width="10.3125" customWidth="1" style="206" min="13056" max="13056"/>
    <col width="19.8125" customWidth="1" style="206" min="13057" max="13057"/>
    <col width="11.625" customWidth="1" style="206" min="13058" max="13058"/>
    <col width="10.4375" customWidth="1" style="206" min="13059" max="13059"/>
    <col width="8.1875" customWidth="1" style="206" min="13060" max="13060"/>
    <col width="7.875" customWidth="1" style="206" min="13061" max="13061"/>
    <col width="4.125" customWidth="1" style="206" min="13062" max="13062"/>
    <col width="9" customWidth="1" style="206" min="13063" max="13063"/>
    <col width="9.5" customWidth="1" style="206" min="13064" max="13064"/>
    <col width="9" customWidth="1" style="206" min="13065" max="13311"/>
    <col width="10.3125" customWidth="1" style="206" min="13312" max="13312"/>
    <col width="19.8125" customWidth="1" style="206" min="13313" max="13313"/>
    <col width="11.625" customWidth="1" style="206" min="13314" max="13314"/>
    <col width="10.4375" customWidth="1" style="206" min="13315" max="13315"/>
    <col width="8.1875" customWidth="1" style="206" min="13316" max="13316"/>
    <col width="7.875" customWidth="1" style="206" min="13317" max="13317"/>
    <col width="4.125" customWidth="1" style="206" min="13318" max="13318"/>
    <col width="9" customWidth="1" style="206" min="13319" max="13319"/>
    <col width="9.5" customWidth="1" style="206" min="13320" max="13320"/>
    <col width="9" customWidth="1" style="206" min="13321" max="13567"/>
    <col width="10.3125" customWidth="1" style="206" min="13568" max="13568"/>
    <col width="19.8125" customWidth="1" style="206" min="13569" max="13569"/>
    <col width="11.625" customWidth="1" style="206" min="13570" max="13570"/>
    <col width="10.4375" customWidth="1" style="206" min="13571" max="13571"/>
    <col width="8.1875" customWidth="1" style="206" min="13572" max="13572"/>
    <col width="7.875" customWidth="1" style="206" min="13573" max="13573"/>
    <col width="4.125" customWidth="1" style="206" min="13574" max="13574"/>
    <col width="9" customWidth="1" style="206" min="13575" max="13575"/>
    <col width="9.5" customWidth="1" style="206" min="13576" max="13576"/>
    <col width="9" customWidth="1" style="206" min="13577" max="13823"/>
    <col width="10.3125" customWidth="1" style="206" min="13824" max="13824"/>
    <col width="19.8125" customWidth="1" style="206" min="13825" max="13825"/>
    <col width="11.625" customWidth="1" style="206" min="13826" max="13826"/>
    <col width="10.4375" customWidth="1" style="206" min="13827" max="13827"/>
    <col width="8.1875" customWidth="1" style="206" min="13828" max="13828"/>
    <col width="7.875" customWidth="1" style="206" min="13829" max="13829"/>
    <col width="4.125" customWidth="1" style="206" min="13830" max="13830"/>
    <col width="9" customWidth="1" style="206" min="13831" max="13831"/>
    <col width="9.5" customWidth="1" style="206" min="13832" max="13832"/>
    <col width="9" customWidth="1" style="206" min="13833" max="14079"/>
    <col width="10.3125" customWidth="1" style="206" min="14080" max="14080"/>
    <col width="19.8125" customWidth="1" style="206" min="14081" max="14081"/>
    <col width="11.625" customWidth="1" style="206" min="14082" max="14082"/>
    <col width="10.4375" customWidth="1" style="206" min="14083" max="14083"/>
    <col width="8.1875" customWidth="1" style="206" min="14084" max="14084"/>
    <col width="7.875" customWidth="1" style="206" min="14085" max="14085"/>
    <col width="4.125" customWidth="1" style="206" min="14086" max="14086"/>
    <col width="9" customWidth="1" style="206" min="14087" max="14087"/>
    <col width="9.5" customWidth="1" style="206" min="14088" max="14088"/>
    <col width="9" customWidth="1" style="206" min="14089" max="14335"/>
    <col width="10.3125" customWidth="1" style="206" min="14336" max="14336"/>
    <col width="19.8125" customWidth="1" style="206" min="14337" max="14337"/>
    <col width="11.625" customWidth="1" style="206" min="14338" max="14338"/>
    <col width="10.4375" customWidth="1" style="206" min="14339" max="14339"/>
    <col width="8.1875" customWidth="1" style="206" min="14340" max="14340"/>
    <col width="7.875" customWidth="1" style="206" min="14341" max="14341"/>
    <col width="4.125" customWidth="1" style="206" min="14342" max="14342"/>
    <col width="9" customWidth="1" style="206" min="14343" max="14343"/>
    <col width="9.5" customWidth="1" style="206" min="14344" max="14344"/>
    <col width="9" customWidth="1" style="206" min="14345" max="14591"/>
    <col width="10.3125" customWidth="1" style="206" min="14592" max="14592"/>
    <col width="19.8125" customWidth="1" style="206" min="14593" max="14593"/>
    <col width="11.625" customWidth="1" style="206" min="14594" max="14594"/>
    <col width="10.4375" customWidth="1" style="206" min="14595" max="14595"/>
    <col width="8.1875" customWidth="1" style="206" min="14596" max="14596"/>
    <col width="7.875" customWidth="1" style="206" min="14597" max="14597"/>
    <col width="4.125" customWidth="1" style="206" min="14598" max="14598"/>
    <col width="9" customWidth="1" style="206" min="14599" max="14599"/>
    <col width="9.5" customWidth="1" style="206" min="14600" max="14600"/>
    <col width="9" customWidth="1" style="206" min="14601" max="14847"/>
    <col width="10.3125" customWidth="1" style="206" min="14848" max="14848"/>
    <col width="19.8125" customWidth="1" style="206" min="14849" max="14849"/>
    <col width="11.625" customWidth="1" style="206" min="14850" max="14850"/>
    <col width="10.4375" customWidth="1" style="206" min="14851" max="14851"/>
    <col width="8.1875" customWidth="1" style="206" min="14852" max="14852"/>
    <col width="7.875" customWidth="1" style="206" min="14853" max="14853"/>
    <col width="4.125" customWidth="1" style="206" min="14854" max="14854"/>
    <col width="9" customWidth="1" style="206" min="14855" max="14855"/>
    <col width="9.5" customWidth="1" style="206" min="14856" max="14856"/>
    <col width="9" customWidth="1" style="206" min="14857" max="15103"/>
    <col width="10.3125" customWidth="1" style="206" min="15104" max="15104"/>
    <col width="19.8125" customWidth="1" style="206" min="15105" max="15105"/>
    <col width="11.625" customWidth="1" style="206" min="15106" max="15106"/>
    <col width="10.4375" customWidth="1" style="206" min="15107" max="15107"/>
    <col width="8.1875" customWidth="1" style="206" min="15108" max="15108"/>
    <col width="7.875" customWidth="1" style="206" min="15109" max="15109"/>
    <col width="4.125" customWidth="1" style="206" min="15110" max="15110"/>
    <col width="9" customWidth="1" style="206" min="15111" max="15111"/>
    <col width="9.5" customWidth="1" style="206" min="15112" max="15112"/>
    <col width="9" customWidth="1" style="206" min="15113" max="15359"/>
    <col width="10.3125" customWidth="1" style="206" min="15360" max="15360"/>
    <col width="19.8125" customWidth="1" style="206" min="15361" max="15361"/>
    <col width="11.625" customWidth="1" style="206" min="15362" max="15362"/>
    <col width="10.4375" customWidth="1" style="206" min="15363" max="15363"/>
    <col width="8.1875" customWidth="1" style="206" min="15364" max="15364"/>
    <col width="7.875" customWidth="1" style="206" min="15365" max="15365"/>
    <col width="4.125" customWidth="1" style="206" min="15366" max="15366"/>
    <col width="9" customWidth="1" style="206" min="15367" max="15367"/>
    <col width="9.5" customWidth="1" style="206" min="15368" max="15368"/>
    <col width="9" customWidth="1" style="206" min="15369" max="15615"/>
    <col width="10.3125" customWidth="1" style="206" min="15616" max="15616"/>
    <col width="19.8125" customWidth="1" style="206" min="15617" max="15617"/>
    <col width="11.625" customWidth="1" style="206" min="15618" max="15618"/>
    <col width="10.4375" customWidth="1" style="206" min="15619" max="15619"/>
    <col width="8.1875" customWidth="1" style="206" min="15620" max="15620"/>
    <col width="7.875" customWidth="1" style="206" min="15621" max="15621"/>
    <col width="4.125" customWidth="1" style="206" min="15622" max="15622"/>
    <col width="9" customWidth="1" style="206" min="15623" max="15623"/>
    <col width="9.5" customWidth="1" style="206" min="15624" max="15624"/>
    <col width="9" customWidth="1" style="206" min="15625" max="15871"/>
    <col width="10.3125" customWidth="1" style="206" min="15872" max="15872"/>
    <col width="19.8125" customWidth="1" style="206" min="15873" max="15873"/>
    <col width="11.625" customWidth="1" style="206" min="15874" max="15874"/>
    <col width="10.4375" customWidth="1" style="206" min="15875" max="15875"/>
    <col width="8.1875" customWidth="1" style="206" min="15876" max="15876"/>
    <col width="7.875" customWidth="1" style="206" min="15877" max="15877"/>
    <col width="4.125" customWidth="1" style="206" min="15878" max="15878"/>
    <col width="9" customWidth="1" style="206" min="15879" max="15879"/>
    <col width="9.5" customWidth="1" style="206" min="15880" max="15880"/>
    <col width="9" customWidth="1" style="206" min="15881" max="16127"/>
    <col width="10.3125" customWidth="1" style="206" min="16128" max="16128"/>
    <col width="19.8125" customWidth="1" style="206" min="16129" max="16129"/>
    <col width="11.625" customWidth="1" style="206" min="16130" max="16130"/>
    <col width="10.4375" customWidth="1" style="206" min="16131" max="16131"/>
    <col width="8.1875" customWidth="1" style="206" min="16132" max="16132"/>
    <col width="7.875" customWidth="1" style="206" min="16133" max="16133"/>
    <col width="4.125" customWidth="1" style="206" min="16134" max="16134"/>
    <col width="9" customWidth="1" style="206" min="16135" max="16135"/>
    <col width="9.5" customWidth="1" style="206" min="16136" max="16136"/>
    <col width="9" customWidth="1" style="206" min="16137" max="16384"/>
  </cols>
  <sheetData>
    <row r="1">
      <c r="A1" s="474" t="n"/>
      <c r="B1" s="474" t="n"/>
      <c r="C1" s="474" t="n"/>
      <c r="D1" s="474" t="n"/>
      <c r="E1" s="475" t="inlineStr">
        <is>
          <t xml:space="preserve">Sales </t>
        </is>
      </c>
      <c r="F1" s="475" t="inlineStr">
        <is>
          <t>Land</t>
        </is>
      </c>
      <c r="G1" s="474" t="n"/>
      <c r="H1" s="205" t="n"/>
    </row>
    <row r="2">
      <c r="A2" s="476" t="inlineStr">
        <is>
          <t>Date</t>
        </is>
      </c>
      <c r="B2" s="476" t="inlineStr">
        <is>
          <t>Address</t>
        </is>
      </c>
      <c r="C2" s="476" t="inlineStr">
        <is>
          <t>City</t>
        </is>
      </c>
      <c r="D2" s="476" t="inlineStr">
        <is>
          <t>County</t>
        </is>
      </c>
      <c r="E2" s="476" t="inlineStr">
        <is>
          <t>Price</t>
        </is>
      </c>
      <c r="F2" s="476" t="inlineStr">
        <is>
          <t>SF</t>
        </is>
      </c>
      <c r="G2" s="476" t="inlineStr">
        <is>
          <t>Price/SF</t>
        </is>
      </c>
      <c r="H2" s="207" t="n"/>
    </row>
    <row r="3">
      <c r="A3" s="290" t="n">
        <v>45957</v>
      </c>
      <c r="B3" s="284" t="inlineStr">
        <is>
          <t>4813 Madison Ave.</t>
        </is>
      </c>
      <c r="C3" s="284" t="inlineStr">
        <is>
          <t>Indianapolis</t>
        </is>
      </c>
      <c r="D3" s="284" t="inlineStr">
        <is>
          <t>Marion</t>
        </is>
      </c>
      <c r="E3" s="984" t="n">
        <v>200000</v>
      </c>
      <c r="F3" s="288" t="n">
        <v>24818</v>
      </c>
      <c r="G3" s="985">
        <f>E3/F3</f>
        <v/>
      </c>
      <c r="H3" s="746" t="n"/>
    </row>
    <row r="4">
      <c r="A4" s="290" t="n">
        <v>44490</v>
      </c>
      <c r="B4" s="986" t="inlineStr">
        <is>
          <t>13860 E. 96th Street</t>
        </is>
      </c>
      <c r="C4" s="284" t="inlineStr">
        <is>
          <t>McCordsville</t>
        </is>
      </c>
      <c r="D4" s="284" t="inlineStr">
        <is>
          <t>Hamilton</t>
        </is>
      </c>
      <c r="E4" s="984" t="n">
        <v>500000</v>
      </c>
      <c r="F4" s="288">
        <f>0.86*43560</f>
        <v/>
      </c>
      <c r="G4" s="985">
        <f>E4/F4</f>
        <v/>
      </c>
      <c r="H4" s="746" t="n"/>
    </row>
    <row r="5">
      <c r="A5" s="290" t="n">
        <v>44959</v>
      </c>
      <c r="B5" s="987" t="inlineStr">
        <is>
          <t>14528 Herriman Blvd</t>
        </is>
      </c>
      <c r="C5" s="284" t="inlineStr">
        <is>
          <t>Noblesville</t>
        </is>
      </c>
      <c r="D5" s="284" t="inlineStr">
        <is>
          <t>Hamilton</t>
        </is>
      </c>
      <c r="E5" s="984" t="n">
        <v>552000</v>
      </c>
      <c r="F5" s="288">
        <f>0.92*43560</f>
        <v/>
      </c>
      <c r="G5" s="985">
        <f>E5/F5</f>
        <v/>
      </c>
      <c r="H5" s="746" t="n"/>
    </row>
    <row r="6">
      <c r="A6" s="290" t="n">
        <v>44959</v>
      </c>
      <c r="B6" s="986" t="inlineStr">
        <is>
          <t xml:space="preserve">4403 N. Franklin Rd. </t>
        </is>
      </c>
      <c r="C6" s="284" t="inlineStr">
        <is>
          <t>Indianapolis</t>
        </is>
      </c>
      <c r="D6" s="284" t="inlineStr">
        <is>
          <t>Marion</t>
        </is>
      </c>
      <c r="E6" s="984" t="n">
        <v>540000</v>
      </c>
      <c r="F6" s="288">
        <f>0.833*43560</f>
        <v/>
      </c>
      <c r="G6" s="985">
        <f>E6/F6</f>
        <v/>
      </c>
      <c r="H6" s="746" t="n"/>
    </row>
    <row r="7" ht="15.4" customHeight="1" s="669">
      <c r="A7" s="290" t="n">
        <v>45089</v>
      </c>
      <c r="B7" s="988" t="inlineStr">
        <is>
          <t xml:space="preserve">8200 106th St. </t>
        </is>
      </c>
      <c r="C7" s="284" t="inlineStr">
        <is>
          <t>Fishers</t>
        </is>
      </c>
      <c r="D7" s="986" t="inlineStr">
        <is>
          <t>Hamilton</t>
        </is>
      </c>
      <c r="E7" s="984" t="n">
        <v>385000</v>
      </c>
      <c r="F7" s="288" t="n">
        <v>29313</v>
      </c>
      <c r="G7" s="985">
        <f>E7/F7</f>
        <v/>
      </c>
      <c r="H7" s="746" t="n"/>
    </row>
    <row r="8">
      <c r="A8" s="284" t="inlineStr">
        <is>
          <t>ACT</t>
        </is>
      </c>
      <c r="B8" s="986" t="inlineStr">
        <is>
          <t>7555 S Meridian St</t>
        </is>
      </c>
      <c r="C8" s="284" t="inlineStr">
        <is>
          <t>Indianapolis</t>
        </is>
      </c>
      <c r="D8" s="284" t="inlineStr">
        <is>
          <t>Marion</t>
        </is>
      </c>
      <c r="E8" s="984" t="n">
        <v>950000</v>
      </c>
      <c r="F8" s="288">
        <f>1.36*43560</f>
        <v/>
      </c>
      <c r="G8" s="985">
        <f>E8/F8</f>
        <v/>
      </c>
      <c r="H8" s="746" t="n"/>
    </row>
    <row r="9">
      <c r="A9" s="284" t="inlineStr">
        <is>
          <t>ACT</t>
        </is>
      </c>
      <c r="B9" s="986" t="inlineStr">
        <is>
          <t>7002 S Madison Ave</t>
        </is>
      </c>
      <c r="C9" s="284" t="inlineStr">
        <is>
          <t>Indianapolis</t>
        </is>
      </c>
      <c r="D9" s="284" t="inlineStr">
        <is>
          <t>Marion</t>
        </is>
      </c>
      <c r="E9" s="984" t="n">
        <v>1050000</v>
      </c>
      <c r="F9" s="288">
        <f>1.48*43560</f>
        <v/>
      </c>
      <c r="G9" s="985">
        <f>E9/F9</f>
        <v/>
      </c>
      <c r="H9" s="746" t="n"/>
    </row>
    <row r="10">
      <c r="A10" s="296" t="n">
        <v>46064</v>
      </c>
      <c r="B10" s="292" t="inlineStr">
        <is>
          <t>SUBJECT</t>
        </is>
      </c>
      <c r="C10" s="292" t="inlineStr">
        <is>
          <t>Indianapolis</t>
        </is>
      </c>
      <c r="D10" s="292" t="inlineStr">
        <is>
          <t>Marion</t>
        </is>
      </c>
      <c r="E10" s="989">
        <f>F10*G10</f>
        <v/>
      </c>
      <c r="F10" s="294" t="n">
        <v>29098</v>
      </c>
      <c r="G10" s="990">
        <f>MIN(G3:G9)</f>
        <v/>
      </c>
      <c r="H10" s="746" t="n"/>
    </row>
    <row r="11">
      <c r="A11" s="296" t="n">
        <v>46065</v>
      </c>
      <c r="B11" s="292" t="inlineStr">
        <is>
          <t>SUBJECT</t>
        </is>
      </c>
      <c r="C11" s="292" t="inlineStr">
        <is>
          <t>Indianapolis</t>
        </is>
      </c>
      <c r="D11" s="292" t="inlineStr">
        <is>
          <t>Marion</t>
        </is>
      </c>
      <c r="E11" s="989">
        <f>F11*G11</f>
        <v/>
      </c>
      <c r="F11" s="294" t="n">
        <v>29098</v>
      </c>
      <c r="G11" s="990">
        <f>MAX(G3:G9)</f>
        <v/>
      </c>
      <c r="H11" s="746" t="n"/>
    </row>
    <row r="12">
      <c r="A12" s="292" t="n"/>
      <c r="B12" s="292" t="n"/>
      <c r="C12" s="292" t="n"/>
      <c r="D12" s="292" t="n"/>
      <c r="E12" s="989" t="n"/>
      <c r="F12" s="294" t="n"/>
      <c r="G12" s="990" t="n"/>
      <c r="H12" s="746" t="n"/>
    </row>
    <row r="13" ht="13.5" customFormat="1" customHeight="1" s="218">
      <c r="A13" s="214" t="n"/>
      <c r="B13" s="214" t="inlineStr">
        <is>
          <t>AVERAGES</t>
        </is>
      </c>
      <c r="C13" s="214" t="n"/>
      <c r="D13" s="214" t="n"/>
      <c r="E13" s="744">
        <f>AVERAGE(E3:E9)</f>
        <v/>
      </c>
      <c r="F13" s="294">
        <f>AVERAGE(F3:F9)</f>
        <v/>
      </c>
      <c r="G13" s="745">
        <f>AVERAGE(G3:G9)</f>
        <v/>
      </c>
      <c r="H13" s="991" t="n"/>
    </row>
    <row r="14">
      <c r="A14" s="219" t="n"/>
      <c r="E14" s="746" t="n"/>
      <c r="F14" s="220" t="n"/>
      <c r="G14" s="992" t="n"/>
      <c r="H14" s="746" t="n"/>
    </row>
    <row r="15">
      <c r="D15" s="219" t="inlineStr">
        <is>
          <t>MIN</t>
        </is>
      </c>
      <c r="E15" s="746">
        <f>MIN(E3:E9)</f>
        <v/>
      </c>
      <c r="F15" s="288">
        <f>MIN(F3:F9)</f>
        <v/>
      </c>
      <c r="G15" s="992">
        <f>MIN(G3:G9)</f>
        <v/>
      </c>
      <c r="H15" s="746" t="n"/>
    </row>
    <row r="16">
      <c r="D16" s="219" t="inlineStr">
        <is>
          <t>MAX</t>
        </is>
      </c>
      <c r="E16" s="746">
        <f>MAX(E3:E9)</f>
        <v/>
      </c>
      <c r="F16" s="288">
        <f>MAX(F3:F9)</f>
        <v/>
      </c>
      <c r="G16" s="992">
        <f>MAX(G3:G9)</f>
        <v/>
      </c>
    </row>
    <row r="17">
      <c r="E17" s="746" t="n"/>
      <c r="F17" s="220" t="n"/>
      <c r="G17" s="992" t="n"/>
      <c r="H17" s="746" t="n"/>
    </row>
    <row r="18">
      <c r="E18" s="746" t="n"/>
      <c r="F18" s="220" t="n"/>
      <c r="G18" s="992" t="n"/>
      <c r="H18" s="746" t="n"/>
    </row>
    <row r="19">
      <c r="A19" s="219" t="n"/>
      <c r="F19" s="220" t="n"/>
      <c r="G19" s="992" t="n"/>
      <c r="H19" s="746" t="n"/>
    </row>
    <row r="20">
      <c r="A20" s="292" t="n"/>
      <c r="B20" s="292" t="inlineStr">
        <is>
          <t>SUBJECT</t>
        </is>
      </c>
      <c r="C20" s="292" t="inlineStr">
        <is>
          <t>Indianapolis</t>
        </is>
      </c>
      <c r="D20" s="292" t="inlineStr">
        <is>
          <t>Marion</t>
        </is>
      </c>
      <c r="E20" s="989">
        <f>F20*G20</f>
        <v/>
      </c>
      <c r="F20" s="294" t="n">
        <v>29098</v>
      </c>
      <c r="G20" s="990" t="n">
        <v>8.058667096462246</v>
      </c>
      <c r="H20" s="746" t="n"/>
    </row>
    <row r="21">
      <c r="A21" s="292" t="n"/>
      <c r="B21" s="292" t="inlineStr">
        <is>
          <t>SUBJECT</t>
        </is>
      </c>
      <c r="C21" s="292" t="inlineStr">
        <is>
          <t>Indianapolis</t>
        </is>
      </c>
      <c r="D21" s="292" t="inlineStr">
        <is>
          <t>Marion</t>
        </is>
      </c>
      <c r="E21" s="989">
        <f>F21*G21</f>
        <v/>
      </c>
      <c r="F21" s="294" t="n">
        <v>29098</v>
      </c>
      <c r="G21" s="745">
        <f>AVERAGE(G3:G9)</f>
        <v/>
      </c>
      <c r="H21" s="746" t="n"/>
    </row>
    <row r="22">
      <c r="A22" s="292" t="n"/>
      <c r="B22" s="292" t="inlineStr">
        <is>
          <t>SUBJECT</t>
        </is>
      </c>
      <c r="C22" s="292" t="inlineStr">
        <is>
          <t>Indianapolis</t>
        </is>
      </c>
      <c r="D22" s="292" t="inlineStr">
        <is>
          <t>Marion</t>
        </is>
      </c>
      <c r="E22" s="989">
        <f>F22*G22</f>
        <v/>
      </c>
      <c r="F22" s="294" t="n">
        <v>29098</v>
      </c>
      <c r="G22" s="990" t="n">
        <v>17.83</v>
      </c>
      <c r="H22" s="746" t="n"/>
    </row>
    <row r="23">
      <c r="A23" s="219" t="n"/>
      <c r="E23" s="746" t="n"/>
      <c r="F23" s="220" t="n"/>
      <c r="G23" s="992" t="n"/>
      <c r="H23" s="746" t="n"/>
    </row>
    <row r="24">
      <c r="A24" s="219" t="n"/>
      <c r="E24" s="746" t="n"/>
      <c r="F24" s="220" t="n"/>
      <c r="G24" s="992" t="n"/>
      <c r="H24" s="746" t="n"/>
    </row>
    <row r="25">
      <c r="A25" s="219" t="n"/>
      <c r="E25" s="746" t="n"/>
      <c r="F25" s="220" t="n"/>
      <c r="G25" s="992" t="n"/>
      <c r="H25" s="746" t="n"/>
    </row>
    <row r="26">
      <c r="A26" s="219" t="n"/>
      <c r="E26" s="746" t="n"/>
      <c r="F26" s="220" t="n"/>
      <c r="G26" s="992" t="n"/>
      <c r="H26" s="746" t="n"/>
    </row>
    <row r="27">
      <c r="A27" s="219" t="n"/>
      <c r="E27" s="746" t="n"/>
      <c r="F27" s="220" t="n"/>
      <c r="G27" s="992" t="n"/>
      <c r="H27" s="746" t="n"/>
    </row>
    <row r="28">
      <c r="A28" s="219" t="n"/>
      <c r="E28" s="746" t="n"/>
      <c r="F28" s="220" t="n"/>
      <c r="G28" s="992" t="n"/>
      <c r="H28" s="746" t="n"/>
    </row>
    <row r="29">
      <c r="A29" s="219" t="n"/>
      <c r="E29" s="746" t="n"/>
      <c r="F29" s="220" t="n"/>
      <c r="G29" s="992" t="n"/>
      <c r="H29" s="746" t="n"/>
    </row>
    <row r="30">
      <c r="A30" s="219" t="n"/>
      <c r="E30" s="746" t="n"/>
      <c r="F30" s="220" t="n"/>
      <c r="G30" s="992" t="n"/>
      <c r="H30" s="746" t="n"/>
    </row>
    <row r="31">
      <c r="E31" s="746" t="n"/>
      <c r="F31" s="219" t="n"/>
      <c r="G31" s="992" t="n"/>
    </row>
    <row r="32">
      <c r="E32" s="746" t="n"/>
    </row>
    <row r="33">
      <c r="E33" s="746" t="n"/>
    </row>
    <row r="34">
      <c r="E34" s="746" t="n"/>
    </row>
  </sheetData>
  <pageMargins left="0.75" right="0.75" top="1" bottom="1" header="0.5" footer="0.5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H34"/>
  <sheetViews>
    <sheetView zoomScale="85" zoomScaleNormal="85" workbookViewId="0">
      <selection activeCell="H42" sqref="H42"/>
    </sheetView>
  </sheetViews>
  <sheetFormatPr baseColWidth="8" defaultRowHeight="11.65"/>
  <cols>
    <col width="3.875" customWidth="1" style="669" min="1" max="1"/>
    <col width="17.75" customWidth="1" style="669" min="2" max="2"/>
    <col width="16.375" customWidth="1" style="669" min="3" max="3"/>
    <col width="25.75" customWidth="1" style="669" min="4" max="4"/>
    <col width="20.875" customWidth="1" style="669" min="5" max="5"/>
  </cols>
  <sheetData>
    <row r="1" ht="12" customHeight="1" s="669" thickBot="1"/>
    <row r="2" ht="7.5" customHeight="1" s="669" thickTop="1">
      <c r="B2" s="993" t="inlineStr">
        <is>
          <t>[County] Property Tax Assessment</t>
        </is>
      </c>
      <c r="C2" s="994" t="n"/>
      <c r="D2" s="994" t="n"/>
      <c r="E2" s="995" t="n"/>
    </row>
    <row r="3" ht="15.4" customHeight="1" s="669">
      <c r="B3" s="996" t="inlineStr">
        <is>
          <t>ASSESSMENT AND TAX INFORMATION</t>
        </is>
      </c>
      <c r="E3" s="997" t="n"/>
    </row>
    <row r="4" ht="17.35" customHeight="1" s="669">
      <c r="B4" s="998" t="inlineStr">
        <is>
          <t>Ownership of Record</t>
        </is>
      </c>
      <c r="C4" s="807" t="n"/>
      <c r="D4" s="999" t="inlineStr">
        <is>
          <t>AUTO:ownerofrecord</t>
        </is>
      </c>
      <c r="E4" s="1000" t="n"/>
    </row>
    <row r="5" ht="17.35" customHeight="1" s="669">
      <c r="B5" s="998" t="inlineStr">
        <is>
          <t>Parcel Identification No(s).</t>
        </is>
      </c>
      <c r="C5" s="807" t="n"/>
      <c r="D5" s="999" t="inlineStr">
        <is>
          <t>AUTO:parcelnumber</t>
        </is>
      </c>
      <c r="E5" s="1000" t="n"/>
    </row>
    <row r="6" ht="15.75" customHeight="1" s="669">
      <c r="B6" s="998" t="inlineStr">
        <is>
          <t>Property Tax District</t>
        </is>
      </c>
      <c r="C6" s="807" t="n"/>
      <c r="D6" s="999" t="inlineStr">
        <is>
          <t>AUTO:taxdistrict</t>
        </is>
      </c>
      <c r="E6" s="1000" t="n"/>
    </row>
    <row r="7" ht="17.35" customHeight="1" s="669">
      <c r="B7" s="998" t="inlineStr">
        <is>
          <t>Date of Last Assessment</t>
        </is>
      </c>
      <c r="C7" s="807" t="n"/>
      <c r="D7" s="1001" t="inlineStr">
        <is>
          <t>AUTO:dateoflastassessment</t>
        </is>
      </c>
      <c r="E7" s="1000" t="n"/>
    </row>
    <row r="8" ht="17.35" customHeight="1" s="669">
      <c r="B8" s="998" t="inlineStr">
        <is>
          <t>Indicated Land Size (Assessor)</t>
        </is>
      </c>
      <c r="C8" s="807" t="n"/>
      <c r="D8" s="999" t="inlineStr">
        <is>
          <t>AUTO:landsize</t>
        </is>
      </c>
      <c r="E8" s="1000" t="n"/>
    </row>
    <row r="9" ht="17.35" customHeight="1" s="669">
      <c r="B9" s="998" t="inlineStr">
        <is>
          <t>Indicated Building Size (Assessor)</t>
        </is>
      </c>
      <c r="C9" s="807" t="n"/>
      <c r="D9" s="999" t="inlineStr">
        <is>
          <t>AUTO:buildingsize</t>
        </is>
      </c>
      <c r="E9" s="1000" t="n"/>
    </row>
    <row r="10" ht="17.35" customHeight="1" s="669" thickBot="1">
      <c r="B10" s="1002" t="inlineStr">
        <is>
          <t>Depreciation Estimate (Assessor)</t>
        </is>
      </c>
      <c r="C10" s="1003" t="n"/>
      <c r="D10" s="1004" t="n">
        <v>0.6899999999999999</v>
      </c>
      <c r="E10" s="1005" t="n"/>
    </row>
    <row r="11" ht="12" customHeight="1" s="669" thickTop="1">
      <c r="B11" s="1006" t="inlineStr">
        <is>
          <t>PROPERTY TAX RATE</t>
        </is>
      </c>
      <c r="E11" s="997" t="n"/>
    </row>
    <row r="12" ht="13.9" customHeight="1" s="669" thickBot="1">
      <c r="B12" s="1007" t="n"/>
      <c r="C12" s="1008" t="n"/>
      <c r="D12" s="1008" t="n"/>
      <c r="E12" s="1009" t="n"/>
    </row>
    <row r="13" ht="13.5" customHeight="1" s="669" thickTop="1">
      <c r="B13" s="1010" t="inlineStr">
        <is>
          <t>Period/year</t>
        </is>
      </c>
      <c r="C13" s="1011" t="n"/>
      <c r="D13" s="1011" t="inlineStr">
        <is>
          <t>Effective property tax rate per $100 of assessed value</t>
        </is>
      </c>
      <c r="E13" s="1012" t="inlineStr">
        <is>
          <t>Annual Taxes</t>
        </is>
      </c>
    </row>
    <row r="14" ht="22.5" customHeight="1" s="669" thickBot="1">
      <c r="B14" s="1013" t="n"/>
      <c r="C14" s="1014" t="n"/>
      <c r="D14" s="1014" t="n"/>
      <c r="E14" s="1015" t="n"/>
    </row>
    <row r="15" ht="10.5" customHeight="1" s="669" thickTop="1">
      <c r="B15" s="1016" t="n"/>
      <c r="C15" s="1017" t="n"/>
      <c r="D15" s="1018" t="n"/>
      <c r="E15" s="1019" t="n"/>
    </row>
    <row r="16" ht="10.5" customHeight="1" s="669" thickBot="1">
      <c r="B16" s="1013" t="n"/>
      <c r="C16" s="1014" t="n"/>
      <c r="D16" s="1014" t="n"/>
      <c r="E16" s="1015" t="n"/>
    </row>
    <row r="17" ht="10.5" customHeight="1" s="669" thickTop="1">
      <c r="B17" s="1016" t="n"/>
      <c r="C17" s="1017" t="n"/>
      <c r="D17" s="1018" t="n"/>
      <c r="E17" s="1019" t="n"/>
    </row>
    <row r="18" ht="10.5" customHeight="1" s="669" thickBot="1">
      <c r="B18" s="1013" t="n"/>
      <c r="C18" s="1014" t="n"/>
      <c r="D18" s="1014" t="n"/>
      <c r="E18" s="1015" t="n"/>
    </row>
    <row r="19" ht="10.5" customHeight="1" s="669" thickTop="1">
      <c r="B19" s="1016" t="n"/>
      <c r="C19" s="1017" t="n"/>
      <c r="D19" s="1018" t="n"/>
      <c r="E19" s="1019" t="n"/>
    </row>
    <row r="20" ht="10.5" customHeight="1" s="669" thickBot="1">
      <c r="B20" s="1013" t="n"/>
      <c r="C20" s="1014" t="n"/>
      <c r="D20" s="1014" t="n"/>
      <c r="E20" s="1015" t="n"/>
    </row>
    <row r="21" ht="10.5" customHeight="1" s="669" thickTop="1">
      <c r="B21" s="1016" t="n"/>
      <c r="C21" s="1017" t="n"/>
      <c r="D21" s="1018" t="n"/>
      <c r="E21" s="1019" t="n"/>
    </row>
    <row r="22" ht="10.5" customHeight="1" s="669" thickBot="1">
      <c r="B22" s="1013" t="n"/>
      <c r="C22" s="1014" t="n"/>
      <c r="D22" s="1014" t="n"/>
      <c r="E22" s="1015" t="n"/>
    </row>
    <row r="23" ht="10.5" customHeight="1" s="669" thickTop="1">
      <c r="B23" s="1016" t="n"/>
      <c r="C23" s="1017" t="n"/>
      <c r="D23" s="1018" t="n"/>
      <c r="E23" s="1019" t="n"/>
    </row>
    <row r="24" ht="10.5" customHeight="1" s="669" thickBot="1">
      <c r="B24" s="1013" t="n"/>
      <c r="C24" s="1014" t="n"/>
      <c r="D24" s="1014" t="n"/>
      <c r="E24" s="1015" t="n"/>
    </row>
    <row r="25" ht="12" customHeight="1" s="669" thickTop="1">
      <c r="B25" s="1020" t="inlineStr">
        <is>
          <t>SUBJECT PROPERTY’S TAX ASSESSMENT SUMMARY</t>
        </is>
      </c>
      <c r="C25" s="994" t="n"/>
      <c r="D25" s="994" t="n"/>
      <c r="E25" s="995" t="n"/>
    </row>
    <row r="26" ht="8.65" customHeight="1" s="669" thickBot="1">
      <c r="B26" s="1007" t="n"/>
      <c r="C26" s="1008" t="n"/>
      <c r="D26" s="1008" t="n"/>
      <c r="E26" s="1009" t="n"/>
    </row>
    <row r="27" ht="14.25" customHeight="1" s="669" thickTop="1">
      <c r="B27" s="1021" t="n"/>
      <c r="C27" s="1022" t="n"/>
      <c r="D27" s="1022" t="n"/>
      <c r="E27" s="1023" t="inlineStr">
        <is>
          <t>Indicated Tax</t>
        </is>
      </c>
    </row>
    <row r="28" ht="13.5" customHeight="1" s="669" thickBot="1">
      <c r="B28" s="1013" t="n"/>
      <c r="C28" s="1014" t="n"/>
      <c r="D28" s="1014" t="n"/>
      <c r="E28" s="1015" t="n"/>
    </row>
    <row r="29" ht="10.25" customHeight="1" s="669" thickBot="1" thickTop="1">
      <c r="B29" s="1024" t="n"/>
      <c r="C29" s="1017" t="n"/>
      <c r="D29" s="641" t="n"/>
      <c r="E29" s="1025" t="n"/>
      <c r="G29" s="1026" t="n"/>
      <c r="H29" s="1027" t="n"/>
    </row>
    <row r="30" ht="10.25" customHeight="1" s="669" thickBot="1" thickTop="1">
      <c r="B30" s="1014" t="n"/>
      <c r="C30" s="1014" t="n"/>
      <c r="D30" s="1014" t="n"/>
      <c r="E30" s="1014" t="n"/>
      <c r="G30" s="1028" t="n"/>
      <c r="H30" s="1028" t="n"/>
    </row>
    <row r="31" ht="10.25" customHeight="1" s="669" thickBot="1" thickTop="1">
      <c r="B31" s="1024" t="n"/>
      <c r="C31" s="1017" t="n"/>
      <c r="D31" s="641" t="n"/>
      <c r="E31" s="1025" t="n"/>
      <c r="G31" s="1026" t="n"/>
      <c r="H31" s="1027" t="n"/>
    </row>
    <row r="32" ht="10.25" customHeight="1" s="669" thickBot="1" thickTop="1">
      <c r="B32" s="1014" t="n"/>
      <c r="C32" s="1014" t="n"/>
      <c r="D32" s="1014" t="n"/>
      <c r="E32" s="1014" t="n"/>
      <c r="G32" s="1028" t="n"/>
      <c r="H32" s="1028" t="n"/>
    </row>
    <row r="33" ht="10.25" customHeight="1" s="669" thickBot="1" thickTop="1">
      <c r="B33" s="1024" t="inlineStr">
        <is>
          <t>Total</t>
        </is>
      </c>
      <c r="C33" s="1017" t="n"/>
      <c r="D33" s="641" t="n"/>
      <c r="E33" s="1025" t="n"/>
      <c r="G33" s="1026" t="n"/>
      <c r="H33" s="1027" t="n"/>
    </row>
    <row r="34" ht="10.25" customHeight="1" s="669" thickBot="1" thickTop="1">
      <c r="B34" s="1014" t="n"/>
      <c r="C34" s="1014" t="n"/>
      <c r="D34" s="1014" t="n"/>
      <c r="E34" s="1014" t="n"/>
      <c r="G34" s="1028" t="n"/>
      <c r="H34" s="1028" t="n"/>
    </row>
    <row r="35" ht="12" customHeight="1" s="669" thickTop="1"/>
    <row r="37" ht="11.65" customHeight="1" s="669"/>
  </sheetData>
  <mergeCells count="64">
    <mergeCell ref="B27:B28"/>
    <mergeCell ref="E17:E18"/>
    <mergeCell ref="H29:H30"/>
    <mergeCell ref="D27:D28"/>
    <mergeCell ref="D10:E10"/>
    <mergeCell ref="B7:C7"/>
    <mergeCell ref="C33:C34"/>
    <mergeCell ref="E13:E14"/>
    <mergeCell ref="C29:C30"/>
    <mergeCell ref="E33:E34"/>
    <mergeCell ref="D21:D22"/>
    <mergeCell ref="B17:B18"/>
    <mergeCell ref="E29:E30"/>
    <mergeCell ref="D17:D18"/>
    <mergeCell ref="E23:E24"/>
    <mergeCell ref="B11:E12"/>
    <mergeCell ref="E19:E20"/>
    <mergeCell ref="H31:H32"/>
    <mergeCell ref="B29:B30"/>
    <mergeCell ref="B23:B24"/>
    <mergeCell ref="D6:E6"/>
    <mergeCell ref="B13:B14"/>
    <mergeCell ref="D13:D14"/>
    <mergeCell ref="C21:C22"/>
    <mergeCell ref="E15:E16"/>
    <mergeCell ref="C31:C32"/>
    <mergeCell ref="B3:E3"/>
    <mergeCell ref="E31:E32"/>
    <mergeCell ref="B8:C8"/>
    <mergeCell ref="B19:B20"/>
    <mergeCell ref="B15:B16"/>
    <mergeCell ref="G29:G30"/>
    <mergeCell ref="E27:E28"/>
    <mergeCell ref="D33:D34"/>
    <mergeCell ref="D15:D16"/>
    <mergeCell ref="C23:C24"/>
    <mergeCell ref="D7:E7"/>
    <mergeCell ref="G33:G34"/>
    <mergeCell ref="C17:C18"/>
    <mergeCell ref="B10:C10"/>
    <mergeCell ref="C27:C28"/>
    <mergeCell ref="B33:B34"/>
    <mergeCell ref="D4:E4"/>
    <mergeCell ref="B2:E2"/>
    <mergeCell ref="B9:C9"/>
    <mergeCell ref="D9:E9"/>
    <mergeCell ref="D29:D30"/>
    <mergeCell ref="C19:C20"/>
    <mergeCell ref="C13:C14"/>
    <mergeCell ref="D8:E8"/>
    <mergeCell ref="D19:D20"/>
    <mergeCell ref="B6:C6"/>
    <mergeCell ref="H33:H34"/>
    <mergeCell ref="B5:C5"/>
    <mergeCell ref="D5:E5"/>
    <mergeCell ref="E21:E22"/>
    <mergeCell ref="D31:D32"/>
    <mergeCell ref="D23:D24"/>
    <mergeCell ref="C15:C16"/>
    <mergeCell ref="G31:G32"/>
    <mergeCell ref="B25:E26"/>
    <mergeCell ref="B21:B22"/>
    <mergeCell ref="B4:C4"/>
    <mergeCell ref="B31:B32"/>
  </mergeCell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6:L99"/>
  <sheetViews>
    <sheetView topLeftCell="A59" zoomScale="85" zoomScaleNormal="85" workbookViewId="0">
      <selection activeCell="M65" sqref="M65"/>
    </sheetView>
  </sheetViews>
  <sheetFormatPr baseColWidth="8" defaultRowHeight="13.9"/>
  <cols>
    <col width="9" customWidth="1" style="831" min="1" max="1"/>
    <col width="20.25" customWidth="1" style="831" min="2" max="2"/>
    <col width="22.875" customWidth="1" style="831" min="3" max="3"/>
    <col width="20.25" customWidth="1" style="831" min="4" max="9"/>
    <col width="11.625" customWidth="1" style="831" min="10" max="10"/>
    <col width="9" customWidth="1" style="831" min="11" max="11"/>
    <col width="11.125" customWidth="1" style="831" min="12" max="12"/>
    <col width="9" customWidth="1" style="831" min="13" max="16384"/>
  </cols>
  <sheetData>
    <row r="6">
      <c r="B6" s="1029" t="n"/>
      <c r="C6" s="1030" t="n"/>
      <c r="D6" s="1030" t="n"/>
      <c r="E6" s="1030" t="n"/>
      <c r="F6" s="1031" t="n"/>
      <c r="G6" s="1032" t="n"/>
      <c r="H6" s="1030" t="n"/>
      <c r="I6" s="1033" t="n"/>
    </row>
    <row r="7">
      <c r="B7" s="1034" t="inlineStr">
        <is>
          <t>AUTO:population1mi</t>
        </is>
      </c>
      <c r="C7" s="1035" t="n"/>
      <c r="D7" s="1035" t="n"/>
      <c r="E7" s="1035" t="n"/>
      <c r="F7" s="1035" t="n"/>
      <c r="G7" s="1035" t="n"/>
      <c r="H7" s="1035" t="n"/>
      <c r="I7" s="1036" t="n"/>
    </row>
    <row r="8">
      <c r="B8" s="1037" t="inlineStr">
        <is>
          <t>AUTO:income1mi</t>
        </is>
      </c>
      <c r="C8" s="1037" t="n"/>
      <c r="D8" s="1038" t="n"/>
      <c r="E8" s="1038" t="n"/>
      <c r="F8" s="1038" t="n"/>
      <c r="G8" s="1038" t="n"/>
      <c r="H8" s="1038" t="n"/>
      <c r="I8" s="1039" t="n"/>
    </row>
    <row r="9">
      <c r="B9" s="1040" t="inlineStr">
        <is>
          <t>Name</t>
        </is>
      </c>
      <c r="C9" s="1041" t="n"/>
      <c r="D9" s="1042" t="n"/>
      <c r="E9" s="657" t="n"/>
      <c r="F9" s="654" t="n"/>
      <c r="G9" s="654" t="n"/>
      <c r="H9" s="657" t="n"/>
      <c r="I9" s="1043" t="n"/>
    </row>
    <row r="10">
      <c r="B10" s="1041" t="n"/>
      <c r="C10" s="1044" t="n"/>
      <c r="E10" s="1042" t="n"/>
      <c r="F10" s="1042" t="n"/>
      <c r="G10" s="1042" t="n"/>
      <c r="H10" s="1042" t="n"/>
      <c r="I10" s="1045" t="n"/>
    </row>
    <row r="11">
      <c r="B11" s="1041" t="inlineStr">
        <is>
          <t>Address</t>
        </is>
      </c>
      <c r="C11" s="1041" t="n"/>
      <c r="D11" s="1046" t="n"/>
      <c r="E11" s="657" t="n"/>
      <c r="F11" s="654" t="n"/>
      <c r="G11" s="657" t="n"/>
      <c r="H11" s="657" t="n"/>
      <c r="I11" s="1045" t="n"/>
    </row>
    <row r="12">
      <c r="B12" s="915" t="n"/>
      <c r="C12" s="915" t="n"/>
      <c r="D12" s="1047" t="n"/>
      <c r="E12" s="1048" t="n"/>
      <c r="F12" s="549" t="n"/>
      <c r="G12" s="1047" t="n"/>
      <c r="H12" s="1047" t="n"/>
      <c r="I12" s="1049" t="n"/>
    </row>
    <row r="13">
      <c r="B13" s="1041" t="inlineStr">
        <is>
          <t>City</t>
        </is>
      </c>
      <c r="C13" s="1041" t="n"/>
      <c r="D13" s="1042" t="n"/>
      <c r="E13" s="654" t="n"/>
      <c r="F13" s="654" t="n"/>
      <c r="G13" s="654" t="n"/>
      <c r="H13" s="654" t="n"/>
      <c r="I13" s="1045" t="n"/>
    </row>
    <row r="14">
      <c r="B14" s="1041" t="inlineStr">
        <is>
          <t>State</t>
        </is>
      </c>
      <c r="C14" s="1041" t="n"/>
      <c r="D14" s="1042" t="n"/>
      <c r="E14" s="1042" t="n"/>
      <c r="F14" s="1042" t="n"/>
      <c r="G14" s="1042" t="n"/>
      <c r="H14" s="1042" t="n"/>
      <c r="I14" s="1045" t="n"/>
    </row>
    <row r="15">
      <c r="B15" s="1041" t="n"/>
      <c r="C15" s="1044" t="n"/>
      <c r="E15" s="1042" t="n"/>
      <c r="F15" s="1042" t="n"/>
      <c r="G15" s="1042" t="n"/>
      <c r="H15" s="1042" t="n"/>
      <c r="I15" s="1045" t="n"/>
    </row>
    <row r="16">
      <c r="B16" s="1041" t="inlineStr">
        <is>
          <t>1 Mile Population</t>
        </is>
      </c>
      <c r="C16" s="1041" t="n"/>
      <c r="D16" s="551" t="n"/>
      <c r="E16" s="551" t="n"/>
      <c r="F16" s="552" t="n"/>
      <c r="G16" s="552" t="n"/>
      <c r="H16" s="552" t="n"/>
      <c r="I16" s="553" t="n"/>
    </row>
    <row r="17">
      <c r="B17" s="1050" t="inlineStr">
        <is>
          <t>M HH Income</t>
        </is>
      </c>
      <c r="C17" s="1041" t="n"/>
      <c r="D17" s="1051" t="n"/>
      <c r="E17" s="1051" t="n"/>
      <c r="F17" s="1052" t="n"/>
      <c r="G17" s="1052" t="n"/>
      <c r="H17" s="1052" t="n"/>
      <c r="I17" s="1053" t="n"/>
    </row>
    <row r="18">
      <c r="B18" s="1041" t="inlineStr">
        <is>
          <t>3 Mile Population</t>
        </is>
      </c>
      <c r="C18" s="1041" t="n"/>
      <c r="D18" s="551" t="n"/>
      <c r="E18" s="551" t="n"/>
      <c r="F18" s="552" t="n"/>
      <c r="G18" s="552" t="n"/>
      <c r="H18" s="552" t="n"/>
      <c r="I18" s="553" t="n"/>
    </row>
    <row r="19">
      <c r="B19" s="1050" t="inlineStr">
        <is>
          <t>M HH Income</t>
        </is>
      </c>
      <c r="C19" s="1041" t="n"/>
      <c r="D19" s="1051" t="n"/>
      <c r="E19" s="1051" t="n"/>
      <c r="F19" s="1052" t="n"/>
      <c r="G19" s="1052" t="n"/>
      <c r="H19" s="1052" t="n"/>
      <c r="I19" s="1053" t="n"/>
    </row>
    <row r="20">
      <c r="B20" s="1050" t="inlineStr">
        <is>
          <t>Vehicles Per Day</t>
        </is>
      </c>
      <c r="C20" s="1050" t="n"/>
      <c r="D20" s="558" t="n"/>
      <c r="E20" s="558" t="n"/>
      <c r="F20" s="559" t="n"/>
      <c r="G20" s="559" t="n"/>
      <c r="H20" s="559" t="n"/>
      <c r="I20" s="560" t="n"/>
    </row>
    <row r="21">
      <c r="D21" s="873" t="n"/>
      <c r="E21" s="873" t="n"/>
    </row>
    <row r="24">
      <c r="B24" s="657" t="inlineStr">
        <is>
          <t>255 E Margaret Ave</t>
        </is>
      </c>
      <c r="C24" s="657" t="n"/>
      <c r="D24" s="656" t="n"/>
      <c r="F24" s="656" t="n"/>
      <c r="H24" s="656" t="n"/>
      <c r="J24" s="656" t="n"/>
      <c r="L24" s="656" t="n"/>
    </row>
    <row r="25">
      <c r="B25" s="654" t="inlineStr">
        <is>
          <t>Terre Haute, IN</t>
        </is>
      </c>
      <c r="C25" s="654" t="n"/>
      <c r="D25" s="656" t="n"/>
      <c r="F25" s="656" t="n"/>
      <c r="H25" s="656" t="n"/>
      <c r="J25" s="656" t="n"/>
      <c r="L25" s="656" t="n"/>
    </row>
    <row r="26">
      <c r="B26" s="654" t="inlineStr">
        <is>
          <t>Vigo</t>
        </is>
      </c>
      <c r="C26" s="654" t="n"/>
      <c r="D26" s="656" t="n"/>
      <c r="E26" s="654" t="n"/>
      <c r="F26" s="656" t="n"/>
      <c r="G26" s="654" t="n"/>
      <c r="H26" s="656" t="n"/>
      <c r="I26" s="654" t="n"/>
      <c r="J26" s="656" t="n"/>
      <c r="K26" s="654" t="n"/>
      <c r="L26" s="656" t="n"/>
    </row>
    <row r="27">
      <c r="B27" s="654" t="inlineStr">
        <is>
          <t>Honey Creek</t>
        </is>
      </c>
      <c r="C27" s="654" t="n"/>
      <c r="D27" s="656" t="n"/>
      <c r="E27" s="657" t="n"/>
      <c r="F27" s="656" t="n"/>
      <c r="G27" s="654" t="n"/>
      <c r="H27" s="656" t="n"/>
      <c r="I27" s="654" t="n"/>
      <c r="J27" s="656" t="n"/>
      <c r="K27" s="657" t="n"/>
      <c r="L27" s="656" t="n"/>
    </row>
    <row r="28">
      <c r="B28" s="654" t="inlineStr">
        <is>
          <t xml:space="preserve"> Bob Evans</t>
        </is>
      </c>
      <c r="C28" s="654" t="n"/>
      <c r="D28" s="656" t="n"/>
      <c r="F28" s="656" t="n"/>
      <c r="H28" s="656" t="n"/>
      <c r="J28" s="656" t="n"/>
      <c r="L28" s="656" t="n"/>
    </row>
    <row r="29">
      <c r="B29" s="661" t="n"/>
      <c r="C29" s="661" t="n"/>
      <c r="D29" s="662" t="n"/>
      <c r="E29" s="661" t="n"/>
      <c r="F29" s="662" t="n"/>
      <c r="G29" s="661" t="n"/>
      <c r="H29" s="662" t="n"/>
      <c r="I29" s="661" t="n"/>
      <c r="J29" s="662" t="n"/>
      <c r="K29" s="661" t="n"/>
      <c r="L29" s="662" t="n"/>
    </row>
    <row r="30">
      <c r="B30" s="666" t="n"/>
      <c r="C30" s="666" t="n"/>
      <c r="D30" s="667" t="n"/>
      <c r="E30" s="666" t="n"/>
      <c r="F30" s="667" t="n"/>
      <c r="G30" s="666" t="n"/>
      <c r="H30" s="667" t="n"/>
      <c r="I30" s="666" t="n"/>
      <c r="J30" s="667" t="n"/>
      <c r="K30" s="666" t="n"/>
      <c r="L30" s="667" t="n"/>
    </row>
    <row r="31">
      <c r="B31" s="672" t="n"/>
      <c r="C31" s="672" t="n"/>
      <c r="D31" s="673" t="n"/>
      <c r="E31" s="672" t="n"/>
      <c r="F31" s="673" t="n"/>
      <c r="G31" s="672" t="n"/>
      <c r="H31" s="673" t="n"/>
      <c r="I31" s="672" t="n"/>
      <c r="J31" s="673" t="n"/>
      <c r="K31" s="672" t="n"/>
      <c r="L31" s="673" t="n"/>
    </row>
    <row r="32">
      <c r="B32" s="676" t="n"/>
      <c r="C32" s="676" t="n"/>
      <c r="D32" s="677" t="n"/>
      <c r="E32" s="676" t="n"/>
      <c r="F32" s="678" t="n"/>
      <c r="G32" s="676" t="n"/>
      <c r="H32" s="678" t="n"/>
      <c r="I32" s="676" t="n"/>
      <c r="J32" s="677" t="n"/>
      <c r="K32" s="676" t="n"/>
      <c r="L32" s="678" t="n"/>
    </row>
    <row r="33">
      <c r="B33" s="676" t="n"/>
      <c r="C33" s="676" t="n"/>
      <c r="D33" s="682" t="n"/>
      <c r="E33" s="676" t="n"/>
      <c r="F33" s="682" t="n"/>
      <c r="G33" s="676" t="n"/>
      <c r="H33" s="682" t="n"/>
      <c r="I33" s="676" t="n"/>
      <c r="J33" s="682" t="n"/>
      <c r="K33" s="676" t="n"/>
      <c r="L33" s="682" t="n"/>
    </row>
    <row r="34">
      <c r="B34" s="672" t="n"/>
      <c r="C34" s="672" t="n"/>
      <c r="D34" s="673" t="n"/>
      <c r="E34" s="672" t="n"/>
      <c r="F34" s="673" t="n"/>
      <c r="G34" s="672" t="n"/>
      <c r="H34" s="673" t="n"/>
      <c r="I34" s="672" t="n"/>
      <c r="J34" s="673" t="n"/>
      <c r="K34" s="672" t="n"/>
      <c r="L34" s="673" t="n"/>
    </row>
    <row r="35">
      <c r="B35" s="653" t="n"/>
      <c r="C35" s="653" t="n"/>
      <c r="D35" s="655" t="n"/>
      <c r="E35" s="653" t="n"/>
      <c r="F35" s="655" t="n"/>
      <c r="G35" s="653" t="n"/>
      <c r="H35" s="655" t="n"/>
      <c r="I35" s="653" t="n"/>
      <c r="J35" s="655" t="n"/>
      <c r="K35" s="653" t="n"/>
      <c r="L35" s="655" t="n"/>
    </row>
    <row r="40">
      <c r="B40" s="1029" t="n"/>
      <c r="C40" s="1030" t="n"/>
      <c r="D40" s="1030" t="n"/>
      <c r="E40" s="1030" t="n"/>
      <c r="F40" s="1031" t="n"/>
      <c r="G40" s="1032" t="n"/>
      <c r="H40" s="1030" t="n"/>
      <c r="I40" s="1033" t="n"/>
    </row>
    <row r="41">
      <c r="B41" s="1034" t="inlineStr">
        <is>
          <t>Sales</t>
        </is>
      </c>
      <c r="C41" s="1035" t="n"/>
      <c r="D41" s="1035" t="n"/>
      <c r="E41" s="1035" t="n"/>
      <c r="F41" s="1035" t="n"/>
      <c r="G41" s="1035" t="n"/>
      <c r="H41" s="1035" t="n"/>
      <c r="I41" s="1036" t="n"/>
    </row>
    <row r="42">
      <c r="B42" s="1037" t="n"/>
      <c r="C42" s="1054" t="n"/>
      <c r="D42" s="1054" t="n"/>
      <c r="E42" s="1054" t="n"/>
      <c r="F42" s="1054" t="n"/>
      <c r="G42" s="1054" t="n"/>
      <c r="H42" s="1054" t="n"/>
      <c r="I42" s="1039" t="n"/>
    </row>
    <row r="43">
      <c r="B43" s="1040" t="inlineStr">
        <is>
          <t>Name</t>
        </is>
      </c>
      <c r="C43" s="1055" t="n"/>
      <c r="D43" s="1055" t="n"/>
      <c r="E43" s="1055" t="n"/>
      <c r="F43" s="1055" t="n"/>
      <c r="G43" s="1055" t="n"/>
      <c r="H43" s="1055" t="n"/>
      <c r="I43" s="1055" t="n"/>
    </row>
    <row r="44">
      <c r="B44" s="1041" t="n"/>
      <c r="C44" s="1056" t="n"/>
      <c r="D44" s="1056" t="n"/>
      <c r="E44" s="1056" t="n"/>
      <c r="F44" s="1056" t="n"/>
      <c r="G44" s="1056" t="n"/>
      <c r="H44" s="1056" t="n"/>
      <c r="I44" s="1056" t="n"/>
    </row>
    <row r="45" ht="27.75" customHeight="1" s="669">
      <c r="B45" s="1041" t="inlineStr">
        <is>
          <t>Address</t>
        </is>
      </c>
      <c r="C45" s="1056" t="n"/>
      <c r="D45" s="1056" t="n"/>
      <c r="E45" s="1056" t="n"/>
      <c r="F45" s="1056" t="n"/>
      <c r="G45" s="1056" t="n"/>
      <c r="H45" s="1056" t="n"/>
      <c r="I45" s="1056" t="n"/>
    </row>
    <row r="46">
      <c r="B46" s="915" t="n"/>
      <c r="C46" s="1056" t="n"/>
      <c r="D46" s="1056" t="n"/>
      <c r="E46" s="1056" t="n"/>
      <c r="F46" s="1056" t="n"/>
      <c r="G46" s="1056" t="n"/>
      <c r="H46" s="1056" t="n"/>
      <c r="I46" s="1056" t="n"/>
    </row>
    <row r="47">
      <c r="B47" s="1041" t="inlineStr">
        <is>
          <t>City</t>
        </is>
      </c>
      <c r="C47" s="1056" t="n"/>
      <c r="D47" s="1056" t="n"/>
      <c r="E47" s="1056" t="n"/>
      <c r="F47" s="1056" t="n"/>
      <c r="G47" s="1056" t="n"/>
      <c r="H47" s="1056" t="n"/>
      <c r="I47" s="1056" t="n"/>
    </row>
    <row r="48">
      <c r="B48" s="1041" t="inlineStr">
        <is>
          <t>State</t>
        </is>
      </c>
      <c r="C48" s="1056" t="n"/>
      <c r="D48" s="1056" t="n"/>
      <c r="E48" s="1056" t="n"/>
      <c r="F48" s="1056" t="n"/>
      <c r="G48" s="1056" t="n"/>
      <c r="H48" s="1056" t="n"/>
      <c r="I48" s="1056" t="n"/>
    </row>
    <row r="49" customFormat="1" s="1057">
      <c r="B49" s="1058" t="inlineStr">
        <is>
          <t>1 Mile Population</t>
        </is>
      </c>
      <c r="C49" s="565" t="n"/>
      <c r="D49" s="565" t="n"/>
      <c r="E49" s="565" t="n"/>
      <c r="F49" s="565" t="n"/>
      <c r="G49" s="565" t="n"/>
      <c r="H49" s="565" t="n"/>
      <c r="I49" s="565" t="n"/>
    </row>
    <row r="50" customFormat="1" s="1059">
      <c r="B50" s="1060" t="inlineStr">
        <is>
          <t>1 Mile HH Income</t>
        </is>
      </c>
      <c r="C50" s="1061" t="n"/>
      <c r="D50" s="1061" t="n"/>
      <c r="E50" s="1061" t="n"/>
      <c r="F50" s="1061" t="n"/>
      <c r="G50" s="1061" t="n"/>
      <c r="H50" s="1061" t="n"/>
      <c r="I50" s="1061" t="n"/>
    </row>
    <row r="51" customFormat="1" s="1057">
      <c r="B51" s="1058" t="inlineStr">
        <is>
          <t>3 Mile Population</t>
        </is>
      </c>
      <c r="C51" s="565" t="n"/>
      <c r="D51" s="565" t="n"/>
      <c r="E51" s="565" t="n"/>
      <c r="F51" s="565" t="n"/>
      <c r="G51" s="565" t="n"/>
      <c r="H51" s="565" t="n"/>
      <c r="I51" s="565" t="n"/>
    </row>
    <row r="52" customFormat="1" s="1059">
      <c r="B52" s="1060" t="inlineStr">
        <is>
          <t>3 Mile HH Income</t>
        </is>
      </c>
      <c r="C52" s="1061" t="n"/>
      <c r="D52" s="1061" t="n"/>
      <c r="E52" s="1061" t="n"/>
      <c r="F52" s="1061" t="n"/>
      <c r="G52" s="1061" t="n"/>
      <c r="H52" s="1061" t="n"/>
      <c r="I52" s="1061" t="n"/>
    </row>
    <row r="53" customFormat="1" s="1057">
      <c r="B53" s="1062" t="inlineStr">
        <is>
          <t>Vehicles Per Day</t>
        </is>
      </c>
      <c r="C53" s="571" t="n"/>
      <c r="D53" s="571" t="n"/>
      <c r="E53" s="571" t="n"/>
      <c r="F53" s="571" t="n"/>
      <c r="G53" s="571" t="n"/>
      <c r="H53" s="571" t="n"/>
      <c r="I53" s="571" t="n"/>
    </row>
    <row r="54" customFormat="1" s="1057">
      <c r="B54" s="1063" t="n"/>
      <c r="C54" s="573" t="n"/>
      <c r="D54" s="573" t="n"/>
      <c r="E54" s="573" t="n"/>
      <c r="F54" s="573" t="n"/>
      <c r="G54" s="573" t="n"/>
      <c r="H54" s="573" t="n"/>
      <c r="I54" s="573" t="n"/>
    </row>
    <row r="55" customFormat="1" s="1057">
      <c r="B55" s="1064" t="inlineStr">
        <is>
          <t>3 Mile Population</t>
        </is>
      </c>
      <c r="C55" s="575" t="n"/>
      <c r="D55" s="576" t="n"/>
      <c r="E55" s="576" t="n"/>
      <c r="F55" s="576" t="n"/>
      <c r="G55" s="576" t="n"/>
      <c r="H55" s="576" t="n"/>
      <c r="I55" s="576" t="n"/>
    </row>
    <row r="56" customFormat="1" s="1057">
      <c r="B56" s="1060" t="inlineStr">
        <is>
          <t>3 Mile HH Income</t>
        </is>
      </c>
      <c r="C56" s="573" t="n"/>
      <c r="D56" s="577" t="n"/>
      <c r="E56" s="577" t="n"/>
      <c r="F56" s="577" t="n"/>
      <c r="G56" s="577" t="n"/>
      <c r="H56" s="577" t="n"/>
      <c r="I56" s="577" t="n"/>
    </row>
    <row r="57">
      <c r="B57" s="1065" t="inlineStr">
        <is>
          <t>Vehicles Per Day</t>
        </is>
      </c>
      <c r="C57" s="1066" t="n"/>
      <c r="D57" s="576" t="n"/>
      <c r="E57" s="576" t="n"/>
      <c r="F57" s="576" t="n"/>
      <c r="G57" s="576" t="n"/>
      <c r="H57" s="576" t="n"/>
      <c r="I57" s="576" t="n"/>
    </row>
    <row r="58">
      <c r="D58" s="838" t="n"/>
      <c r="E58" s="838" t="n"/>
      <c r="F58" s="838" t="n"/>
      <c r="G58" s="838" t="n"/>
      <c r="H58" s="838" t="n"/>
      <c r="I58" s="838" t="n"/>
    </row>
    <row r="61">
      <c r="B61" s="1034" t="inlineStr">
        <is>
          <t>Lease</t>
        </is>
      </c>
      <c r="C61" s="1035" t="n"/>
      <c r="D61" s="1035" t="n"/>
      <c r="E61" s="1035" t="n"/>
      <c r="F61" s="1035" t="n"/>
      <c r="G61" s="1035" t="n"/>
      <c r="H61" s="1035" t="n"/>
      <c r="I61" s="1036" t="n"/>
    </row>
    <row r="62">
      <c r="B62" s="1037" t="n"/>
      <c r="C62" s="1054" t="n"/>
      <c r="D62" s="1054" t="n"/>
      <c r="E62" s="1054" t="n"/>
      <c r="F62" s="1054" t="n"/>
      <c r="G62" s="1054" t="n"/>
      <c r="H62" s="1054" t="n"/>
      <c r="I62" s="1039" t="n"/>
    </row>
    <row r="63">
      <c r="B63" s="1040" t="inlineStr">
        <is>
          <t>Name</t>
        </is>
      </c>
      <c r="C63" s="1055" t="n"/>
      <c r="D63" s="1055" t="n"/>
      <c r="E63" s="1055" t="n"/>
      <c r="F63" s="1055" t="n"/>
      <c r="G63" s="1055" t="n"/>
      <c r="H63" s="1055" t="n"/>
      <c r="I63" s="1055" t="n"/>
    </row>
    <row r="64">
      <c r="B64" s="1041" t="n"/>
      <c r="C64" s="1056" t="n"/>
      <c r="D64" s="1056" t="n"/>
      <c r="E64" s="1056" t="n"/>
      <c r="F64" s="1056" t="n"/>
      <c r="G64" s="1056" t="n"/>
      <c r="H64" s="1056" t="n"/>
      <c r="I64" s="1056" t="n"/>
    </row>
    <row r="65" ht="27.75" customHeight="1" s="669">
      <c r="B65" s="1041" t="inlineStr">
        <is>
          <t>Address</t>
        </is>
      </c>
      <c r="C65" s="1056" t="n"/>
      <c r="D65" s="1056" t="n"/>
      <c r="E65" s="1056" t="n"/>
      <c r="F65" s="1067" t="n"/>
      <c r="G65" s="1056" t="n"/>
      <c r="H65" s="1056" t="n"/>
      <c r="I65" s="1067" t="n"/>
    </row>
    <row r="66">
      <c r="B66" s="915" t="n"/>
      <c r="C66" s="1056" t="n"/>
      <c r="D66" s="1056" t="n"/>
      <c r="E66" s="1056" t="n"/>
      <c r="F66" s="1067" t="n"/>
      <c r="G66" s="1056" t="n"/>
      <c r="H66" s="1056" t="n"/>
      <c r="I66" s="1067" t="n"/>
    </row>
    <row r="67">
      <c r="B67" s="1041" t="inlineStr">
        <is>
          <t>City</t>
        </is>
      </c>
      <c r="C67" s="1056" t="n"/>
      <c r="D67" s="1068" t="n"/>
      <c r="E67" s="1068" t="n"/>
      <c r="F67" s="1067" t="n"/>
      <c r="G67" s="1068" t="n"/>
      <c r="H67" s="1068" t="n"/>
      <c r="I67" s="1067" t="n"/>
    </row>
    <row r="68">
      <c r="B68" s="1041" t="inlineStr">
        <is>
          <t>State</t>
        </is>
      </c>
      <c r="C68" s="1056" t="n"/>
      <c r="D68" s="1068" t="n"/>
      <c r="E68" s="1068" t="n"/>
      <c r="F68" s="1067" t="n"/>
      <c r="G68" s="1068" t="n"/>
      <c r="H68" s="1068" t="n"/>
      <c r="I68" s="1067" t="n"/>
    </row>
    <row r="69" customFormat="1" s="1057">
      <c r="B69" s="1058" t="inlineStr">
        <is>
          <t>1 Mile Population</t>
        </is>
      </c>
      <c r="C69" s="565" t="n"/>
      <c r="D69" s="582" t="n"/>
      <c r="E69" s="582" t="n"/>
      <c r="F69" s="583" t="n"/>
      <c r="G69" s="582" t="n"/>
      <c r="H69" s="582" t="n"/>
      <c r="I69" s="583" t="n"/>
    </row>
    <row r="70" customFormat="1" s="1059">
      <c r="B70" s="1060" t="inlineStr">
        <is>
          <t>1 Mile HH Income</t>
        </is>
      </c>
      <c r="C70" s="1061" t="n"/>
      <c r="D70" s="1069" t="n"/>
      <c r="E70" s="1069" t="n"/>
      <c r="F70" s="1070" t="n"/>
      <c r="G70" s="1069" t="n"/>
      <c r="H70" s="1069" t="n"/>
      <c r="I70" s="1070" t="n"/>
    </row>
    <row r="71" customFormat="1" s="1057">
      <c r="B71" s="1058" t="inlineStr">
        <is>
          <t>3 Mile Population</t>
        </is>
      </c>
      <c r="C71" s="565" t="n"/>
      <c r="D71" s="582" t="n"/>
      <c r="E71" s="582" t="n"/>
      <c r="F71" s="583" t="n"/>
      <c r="G71" s="582" t="n"/>
      <c r="H71" s="582" t="n"/>
      <c r="I71" s="583" t="n"/>
    </row>
    <row r="72" customFormat="1" s="1059">
      <c r="B72" s="1060" t="inlineStr">
        <is>
          <t>3 Mile HH Income</t>
        </is>
      </c>
      <c r="C72" s="1061" t="n"/>
      <c r="D72" s="1069" t="n"/>
      <c r="E72" s="1069" t="n"/>
      <c r="F72" s="1070" t="n"/>
      <c r="G72" s="1069" t="n"/>
      <c r="H72" s="1069" t="n"/>
      <c r="I72" s="1070" t="n"/>
    </row>
    <row r="73" customFormat="1" s="1057">
      <c r="B73" s="1062" t="inlineStr">
        <is>
          <t>Vehicles Per Day</t>
        </is>
      </c>
      <c r="C73" s="571" t="n"/>
      <c r="D73" s="586" t="n"/>
      <c r="E73" s="586" t="n"/>
      <c r="F73" s="587" t="n"/>
      <c r="G73" s="586" t="n"/>
      <c r="H73" s="586" t="n"/>
      <c r="I73" s="587" t="n"/>
    </row>
    <row r="74" customFormat="1" s="1057">
      <c r="B74" s="1063" t="n"/>
      <c r="C74" s="573" t="n"/>
      <c r="D74" s="573" t="n"/>
      <c r="E74" s="573" t="n"/>
      <c r="F74" s="573" t="n"/>
      <c r="G74" s="573" t="n"/>
      <c r="H74" s="573" t="n"/>
      <c r="I74" s="573" t="n"/>
    </row>
    <row r="75" customFormat="1" s="1057">
      <c r="B75" s="1064" t="inlineStr">
        <is>
          <t>3 Mile Population</t>
        </is>
      </c>
      <c r="C75" s="575" t="n"/>
      <c r="D75" s="576" t="n"/>
      <c r="E75" s="576" t="n"/>
      <c r="F75" s="576" t="n"/>
      <c r="G75" s="576" t="n"/>
      <c r="H75" s="576" t="n"/>
      <c r="I75" s="576" t="n"/>
    </row>
    <row r="76" customFormat="1" s="1057">
      <c r="B76" s="1060" t="inlineStr">
        <is>
          <t>3 Mile HH Income</t>
        </is>
      </c>
      <c r="C76" s="573" t="n"/>
      <c r="D76" s="577" t="n"/>
      <c r="E76" s="577" t="n"/>
      <c r="F76" s="577" t="n"/>
      <c r="G76" s="577" t="n"/>
      <c r="H76" s="577" t="n"/>
      <c r="I76" s="577" t="n"/>
    </row>
    <row r="77">
      <c r="B77" s="1065" t="inlineStr">
        <is>
          <t>Vehicles Per Day</t>
        </is>
      </c>
      <c r="C77" s="1066" t="n"/>
      <c r="D77" s="576" t="n"/>
      <c r="E77" s="576" t="n"/>
      <c r="F77" s="576" t="n"/>
      <c r="G77" s="576" t="n"/>
      <c r="H77" s="576" t="n"/>
      <c r="I77" s="576" t="n"/>
    </row>
    <row r="78">
      <c r="D78" s="838" t="n"/>
      <c r="E78" s="838" t="n"/>
      <c r="F78" s="838" t="n"/>
      <c r="G78" s="838" t="n"/>
      <c r="H78" s="838" t="n"/>
    </row>
    <row r="81" customFormat="1" s="1071">
      <c r="B81" s="1029" t="n"/>
      <c r="C81" s="1030" t="n"/>
      <c r="D81" s="1030" t="n"/>
      <c r="E81" s="1030" t="n"/>
      <c r="F81" s="1072" t="n"/>
      <c r="G81" s="1032" t="n"/>
      <c r="H81" s="1030" t="n"/>
      <c r="I81" s="1033" t="n"/>
    </row>
    <row r="82" customFormat="1" s="1071">
      <c r="B82" s="1073" t="inlineStr">
        <is>
          <t>Land</t>
        </is>
      </c>
      <c r="C82" s="1035" t="n"/>
      <c r="D82" s="1035" t="n"/>
      <c r="E82" s="1035" t="n"/>
      <c r="F82" s="1035" t="n"/>
      <c r="G82" s="1035" t="n"/>
      <c r="H82" s="1035" t="n"/>
      <c r="I82" s="1036" t="n"/>
    </row>
    <row r="83" customFormat="1" s="1057">
      <c r="B83" s="1074" t="n"/>
      <c r="C83" s="1054" t="n"/>
      <c r="D83" s="1054" t="n"/>
      <c r="E83" s="1054" t="n"/>
      <c r="F83" s="1054" t="n"/>
      <c r="G83" s="1054" t="n"/>
      <c r="H83" s="1054" t="n"/>
      <c r="I83" s="1075" t="n"/>
    </row>
    <row r="84" customFormat="1" s="1057">
      <c r="B84" s="1076" t="inlineStr">
        <is>
          <t>Name</t>
        </is>
      </c>
      <c r="C84" s="1055" t="n"/>
      <c r="D84" s="1055" t="n"/>
      <c r="E84" s="1055" t="n"/>
      <c r="F84" s="1055" t="n"/>
      <c r="G84" s="1055" t="n"/>
      <c r="H84" s="1055" t="n"/>
      <c r="I84" s="1077" t="n"/>
    </row>
    <row r="85" customFormat="1" s="1057">
      <c r="B85" s="1058" t="n"/>
      <c r="C85" s="1056" t="n"/>
      <c r="D85" s="1056" t="n"/>
      <c r="E85" s="1056" t="n"/>
      <c r="F85" s="1056" t="n"/>
      <c r="G85" s="1056" t="n"/>
      <c r="H85" s="1056" t="n"/>
      <c r="I85" s="1078" t="n"/>
    </row>
    <row r="86" customFormat="1" s="1057">
      <c r="B86" s="1058" t="inlineStr">
        <is>
          <t>Address</t>
        </is>
      </c>
      <c r="C86" s="1056" t="n"/>
      <c r="D86" s="1056" t="n"/>
      <c r="E86" s="1056" t="n"/>
      <c r="F86" s="1056" t="n"/>
      <c r="G86" s="1056" t="n"/>
      <c r="H86" s="1056" t="n"/>
      <c r="I86" s="1078" t="n"/>
    </row>
    <row r="87" customFormat="1" s="1057">
      <c r="B87" s="1058" t="n"/>
      <c r="C87" s="1056" t="n"/>
      <c r="D87" s="1056" t="n"/>
      <c r="E87" s="1056" t="n"/>
      <c r="F87" s="597" t="n"/>
      <c r="G87" s="1056" t="n"/>
      <c r="H87" s="1056" t="n"/>
      <c r="I87" s="1078" t="n"/>
    </row>
    <row r="88" customFormat="1" s="1057">
      <c r="B88" s="1058" t="inlineStr">
        <is>
          <t>City</t>
        </is>
      </c>
      <c r="C88" s="1056" t="n"/>
      <c r="D88" s="1056" t="n"/>
      <c r="E88" s="1056" t="n"/>
      <c r="F88" s="1056" t="n"/>
      <c r="G88" s="1056" t="n"/>
      <c r="H88" s="1056" t="n"/>
      <c r="I88" s="1078" t="n"/>
    </row>
    <row r="89" customFormat="1" s="1057">
      <c r="B89" s="1058" t="inlineStr">
        <is>
          <t>State</t>
        </is>
      </c>
      <c r="C89" s="1056" t="n"/>
      <c r="D89" s="1068" t="n"/>
      <c r="E89" s="1068" t="n"/>
      <c r="F89" s="1068" t="n"/>
      <c r="G89" s="1068" t="n"/>
      <c r="H89" s="1068" t="n"/>
      <c r="I89" s="1079" t="n"/>
    </row>
    <row r="90" customFormat="1" s="1057">
      <c r="B90" s="1058" t="inlineStr">
        <is>
          <t>1 Mile Population</t>
        </is>
      </c>
      <c r="C90" s="565" t="n"/>
      <c r="D90" s="582" t="n"/>
      <c r="E90" s="582" t="n"/>
      <c r="F90" s="582" t="n"/>
      <c r="G90" s="582" t="n"/>
      <c r="H90" s="599" t="n"/>
      <c r="I90" s="582" t="n"/>
    </row>
    <row r="91" customFormat="1" s="1059">
      <c r="B91" s="1060" t="inlineStr">
        <is>
          <t>1 Mile HH Income</t>
        </is>
      </c>
      <c r="C91" s="1061" t="n"/>
      <c r="D91" s="1069" t="n"/>
      <c r="E91" s="1069" t="n"/>
      <c r="F91" s="1069" t="n"/>
      <c r="G91" s="1069" t="n"/>
      <c r="H91" s="1080" t="n"/>
      <c r="I91" s="1069" t="n"/>
    </row>
    <row r="92" customFormat="1" s="1057">
      <c r="B92" s="1058" t="inlineStr">
        <is>
          <t>3 Mile Population</t>
        </is>
      </c>
      <c r="C92" s="565" t="n"/>
      <c r="D92" s="582" t="n"/>
      <c r="E92" s="582" t="n"/>
      <c r="F92" s="582" t="n"/>
      <c r="G92" s="582" t="n"/>
      <c r="H92" s="599" t="n"/>
      <c r="I92" s="582" t="n"/>
    </row>
    <row r="93" customFormat="1" s="1059">
      <c r="B93" s="1060" t="inlineStr">
        <is>
          <t>3 Mile HH Income</t>
        </is>
      </c>
      <c r="C93" s="1061" t="n"/>
      <c r="D93" s="1069" t="n"/>
      <c r="E93" s="1069" t="n"/>
      <c r="F93" s="1069" t="n"/>
      <c r="G93" s="1069" t="n"/>
      <c r="H93" s="1080" t="n"/>
      <c r="I93" s="1069" t="n"/>
    </row>
    <row r="94" customFormat="1" s="1057">
      <c r="B94" s="1062" t="inlineStr">
        <is>
          <t>Vehicles Per Day</t>
        </is>
      </c>
      <c r="C94" s="571" t="n"/>
      <c r="D94" s="586" t="n"/>
      <c r="E94" s="586" t="n"/>
      <c r="F94" s="586" t="n"/>
      <c r="G94" s="586" t="n"/>
      <c r="H94" s="601" t="n"/>
      <c r="I94" s="586" t="n"/>
    </row>
    <row r="95" customFormat="1" s="1057">
      <c r="B95" s="1063" t="n"/>
      <c r="C95" s="573" t="n"/>
      <c r="D95" s="573" t="n"/>
      <c r="E95" s="573" t="n"/>
      <c r="F95" s="573" t="n"/>
      <c r="G95" s="573" t="n"/>
      <c r="H95" s="573" t="n"/>
      <c r="I95" s="573" t="n"/>
    </row>
    <row r="96" customFormat="1" s="1057">
      <c r="B96" s="1064" t="inlineStr">
        <is>
          <t>3 Mile Population</t>
        </is>
      </c>
      <c r="C96" s="575" t="n"/>
      <c r="D96" s="576" t="n"/>
      <c r="E96" s="576" t="n"/>
      <c r="F96" s="576" t="n"/>
      <c r="G96" s="576" t="n"/>
      <c r="H96" s="576" t="n"/>
      <c r="I96" s="576" t="n"/>
    </row>
    <row r="97" customFormat="1" s="1057">
      <c r="B97" s="1060" t="inlineStr">
        <is>
          <t>3 Mile HH Income</t>
        </is>
      </c>
      <c r="C97" s="573" t="n"/>
      <c r="D97" s="577" t="n"/>
      <c r="E97" s="577" t="n"/>
      <c r="F97" s="577" t="n"/>
      <c r="G97" s="577" t="n"/>
      <c r="H97" s="577" t="n"/>
      <c r="I97" s="577" t="n"/>
    </row>
    <row r="98">
      <c r="B98" s="1065" t="inlineStr">
        <is>
          <t>Vehicles Per Day</t>
        </is>
      </c>
      <c r="C98" s="1066" t="n"/>
      <c r="D98" s="576" t="n"/>
      <c r="E98" s="576" t="n"/>
      <c r="F98" s="576" t="n"/>
      <c r="G98" s="576" t="n"/>
      <c r="H98" s="576" t="n"/>
      <c r="I98" s="576" t="n"/>
    </row>
    <row r="99">
      <c r="D99" s="838" t="n"/>
      <c r="E99" s="838" t="n"/>
      <c r="F99" s="838" t="n"/>
      <c r="G99" s="838" t="n"/>
      <c r="H99" s="838" t="n"/>
      <c r="I99" s="838" t="n"/>
    </row>
  </sheetData>
  <mergeCells count="10">
    <mergeCell ref="B40:E40"/>
    <mergeCell ref="B82:I82"/>
    <mergeCell ref="G6:I6"/>
    <mergeCell ref="B7:I7"/>
    <mergeCell ref="B6:E6"/>
    <mergeCell ref="G40:I40"/>
    <mergeCell ref="G81:I81"/>
    <mergeCell ref="B81:E81"/>
    <mergeCell ref="B61:I61"/>
    <mergeCell ref="B41:I4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B3:K10"/>
  <sheetViews>
    <sheetView showGridLines="0" topLeftCell="D1" workbookViewId="0">
      <selection activeCell="K32" sqref="K32"/>
    </sheetView>
  </sheetViews>
  <sheetFormatPr baseColWidth="8" defaultColWidth="8" defaultRowHeight="13.9"/>
  <cols>
    <col width="8" customWidth="1" style="1081" min="1" max="4"/>
    <col width="13.125" customWidth="1" style="1081" min="5" max="5"/>
    <col width="8" customWidth="1" style="1081" min="6" max="260"/>
    <col width="13.125" customWidth="1" style="1081" min="261" max="261"/>
    <col width="8" customWidth="1" style="1081" min="262" max="516"/>
    <col width="13.125" customWidth="1" style="1081" min="517" max="517"/>
    <col width="8" customWidth="1" style="1081" min="518" max="772"/>
    <col width="13.125" customWidth="1" style="1081" min="773" max="773"/>
    <col width="8" customWidth="1" style="1081" min="774" max="1028"/>
    <col width="13.125" customWidth="1" style="1081" min="1029" max="1029"/>
    <col width="8" customWidth="1" style="1081" min="1030" max="1284"/>
    <col width="13.125" customWidth="1" style="1081" min="1285" max="1285"/>
    <col width="8" customWidth="1" style="1081" min="1286" max="1540"/>
    <col width="13.125" customWidth="1" style="1081" min="1541" max="1541"/>
    <col width="8" customWidth="1" style="1081" min="1542" max="1796"/>
    <col width="13.125" customWidth="1" style="1081" min="1797" max="1797"/>
    <col width="8" customWidth="1" style="1081" min="1798" max="2052"/>
    <col width="13.125" customWidth="1" style="1081" min="2053" max="2053"/>
    <col width="8" customWidth="1" style="1081" min="2054" max="2308"/>
    <col width="13.125" customWidth="1" style="1081" min="2309" max="2309"/>
    <col width="8" customWidth="1" style="1081" min="2310" max="2564"/>
    <col width="13.125" customWidth="1" style="1081" min="2565" max="2565"/>
    <col width="8" customWidth="1" style="1081" min="2566" max="2820"/>
    <col width="13.125" customWidth="1" style="1081" min="2821" max="2821"/>
    <col width="8" customWidth="1" style="1081" min="2822" max="3076"/>
    <col width="13.125" customWidth="1" style="1081" min="3077" max="3077"/>
    <col width="8" customWidth="1" style="1081" min="3078" max="3332"/>
    <col width="13.125" customWidth="1" style="1081" min="3333" max="3333"/>
    <col width="8" customWidth="1" style="1081" min="3334" max="3588"/>
    <col width="13.125" customWidth="1" style="1081" min="3589" max="3589"/>
    <col width="8" customWidth="1" style="1081" min="3590" max="3844"/>
    <col width="13.125" customWidth="1" style="1081" min="3845" max="3845"/>
    <col width="8" customWidth="1" style="1081" min="3846" max="4100"/>
    <col width="13.125" customWidth="1" style="1081" min="4101" max="4101"/>
    <col width="8" customWidth="1" style="1081" min="4102" max="4356"/>
    <col width="13.125" customWidth="1" style="1081" min="4357" max="4357"/>
    <col width="8" customWidth="1" style="1081" min="4358" max="4612"/>
    <col width="13.125" customWidth="1" style="1081" min="4613" max="4613"/>
    <col width="8" customWidth="1" style="1081" min="4614" max="4868"/>
    <col width="13.125" customWidth="1" style="1081" min="4869" max="4869"/>
    <col width="8" customWidth="1" style="1081" min="4870" max="5124"/>
    <col width="13.125" customWidth="1" style="1081" min="5125" max="5125"/>
    <col width="8" customWidth="1" style="1081" min="5126" max="5380"/>
    <col width="13.125" customWidth="1" style="1081" min="5381" max="5381"/>
    <col width="8" customWidth="1" style="1081" min="5382" max="5636"/>
    <col width="13.125" customWidth="1" style="1081" min="5637" max="5637"/>
    <col width="8" customWidth="1" style="1081" min="5638" max="5892"/>
    <col width="13.125" customWidth="1" style="1081" min="5893" max="5893"/>
    <col width="8" customWidth="1" style="1081" min="5894" max="6148"/>
    <col width="13.125" customWidth="1" style="1081" min="6149" max="6149"/>
    <col width="8" customWidth="1" style="1081" min="6150" max="6404"/>
    <col width="13.125" customWidth="1" style="1081" min="6405" max="6405"/>
    <col width="8" customWidth="1" style="1081" min="6406" max="6660"/>
    <col width="13.125" customWidth="1" style="1081" min="6661" max="6661"/>
    <col width="8" customWidth="1" style="1081" min="6662" max="6916"/>
    <col width="13.125" customWidth="1" style="1081" min="6917" max="6917"/>
    <col width="8" customWidth="1" style="1081" min="6918" max="7172"/>
    <col width="13.125" customWidth="1" style="1081" min="7173" max="7173"/>
    <col width="8" customWidth="1" style="1081" min="7174" max="7428"/>
    <col width="13.125" customWidth="1" style="1081" min="7429" max="7429"/>
    <col width="8" customWidth="1" style="1081" min="7430" max="7684"/>
    <col width="13.125" customWidth="1" style="1081" min="7685" max="7685"/>
    <col width="8" customWidth="1" style="1081" min="7686" max="7940"/>
    <col width="13.125" customWidth="1" style="1081" min="7941" max="7941"/>
    <col width="8" customWidth="1" style="1081" min="7942" max="8196"/>
    <col width="13.125" customWidth="1" style="1081" min="8197" max="8197"/>
    <col width="8" customWidth="1" style="1081" min="8198" max="8452"/>
    <col width="13.125" customWidth="1" style="1081" min="8453" max="8453"/>
    <col width="8" customWidth="1" style="1081" min="8454" max="8708"/>
    <col width="13.125" customWidth="1" style="1081" min="8709" max="8709"/>
    <col width="8" customWidth="1" style="1081" min="8710" max="8964"/>
    <col width="13.125" customWidth="1" style="1081" min="8965" max="8965"/>
    <col width="8" customWidth="1" style="1081" min="8966" max="9220"/>
    <col width="13.125" customWidth="1" style="1081" min="9221" max="9221"/>
    <col width="8" customWidth="1" style="1081" min="9222" max="9476"/>
    <col width="13.125" customWidth="1" style="1081" min="9477" max="9477"/>
    <col width="8" customWidth="1" style="1081" min="9478" max="9732"/>
    <col width="13.125" customWidth="1" style="1081" min="9733" max="9733"/>
    <col width="8" customWidth="1" style="1081" min="9734" max="9988"/>
    <col width="13.125" customWidth="1" style="1081" min="9989" max="9989"/>
    <col width="8" customWidth="1" style="1081" min="9990" max="10244"/>
    <col width="13.125" customWidth="1" style="1081" min="10245" max="10245"/>
    <col width="8" customWidth="1" style="1081" min="10246" max="10500"/>
    <col width="13.125" customWidth="1" style="1081" min="10501" max="10501"/>
    <col width="8" customWidth="1" style="1081" min="10502" max="10756"/>
    <col width="13.125" customWidth="1" style="1081" min="10757" max="10757"/>
    <col width="8" customWidth="1" style="1081" min="10758" max="11012"/>
    <col width="13.125" customWidth="1" style="1081" min="11013" max="11013"/>
    <col width="8" customWidth="1" style="1081" min="11014" max="11268"/>
    <col width="13.125" customWidth="1" style="1081" min="11269" max="11269"/>
    <col width="8" customWidth="1" style="1081" min="11270" max="11524"/>
    <col width="13.125" customWidth="1" style="1081" min="11525" max="11525"/>
    <col width="8" customWidth="1" style="1081" min="11526" max="11780"/>
    <col width="13.125" customWidth="1" style="1081" min="11781" max="11781"/>
    <col width="8" customWidth="1" style="1081" min="11782" max="12036"/>
    <col width="13.125" customWidth="1" style="1081" min="12037" max="12037"/>
    <col width="8" customWidth="1" style="1081" min="12038" max="12292"/>
    <col width="13.125" customWidth="1" style="1081" min="12293" max="12293"/>
    <col width="8" customWidth="1" style="1081" min="12294" max="12548"/>
    <col width="13.125" customWidth="1" style="1081" min="12549" max="12549"/>
    <col width="8" customWidth="1" style="1081" min="12550" max="12804"/>
    <col width="13.125" customWidth="1" style="1081" min="12805" max="12805"/>
    <col width="8" customWidth="1" style="1081" min="12806" max="13060"/>
    <col width="13.125" customWidth="1" style="1081" min="13061" max="13061"/>
    <col width="8" customWidth="1" style="1081" min="13062" max="13316"/>
    <col width="13.125" customWidth="1" style="1081" min="13317" max="13317"/>
    <col width="8" customWidth="1" style="1081" min="13318" max="13572"/>
    <col width="13.125" customWidth="1" style="1081" min="13573" max="13573"/>
    <col width="8" customWidth="1" style="1081" min="13574" max="13828"/>
    <col width="13.125" customWidth="1" style="1081" min="13829" max="13829"/>
    <col width="8" customWidth="1" style="1081" min="13830" max="14084"/>
    <col width="13.125" customWidth="1" style="1081" min="14085" max="14085"/>
    <col width="8" customWidth="1" style="1081" min="14086" max="14340"/>
    <col width="13.125" customWidth="1" style="1081" min="14341" max="14341"/>
    <col width="8" customWidth="1" style="1081" min="14342" max="14596"/>
    <col width="13.125" customWidth="1" style="1081" min="14597" max="14597"/>
    <col width="8" customWidth="1" style="1081" min="14598" max="14852"/>
    <col width="13.125" customWidth="1" style="1081" min="14853" max="14853"/>
    <col width="8" customWidth="1" style="1081" min="14854" max="15108"/>
    <col width="13.125" customWidth="1" style="1081" min="15109" max="15109"/>
    <col width="8" customWidth="1" style="1081" min="15110" max="15364"/>
    <col width="13.125" customWidth="1" style="1081" min="15365" max="15365"/>
    <col width="8" customWidth="1" style="1081" min="15366" max="15620"/>
    <col width="13.125" customWidth="1" style="1081" min="15621" max="15621"/>
    <col width="8" customWidth="1" style="1081" min="15622" max="15876"/>
    <col width="13.125" customWidth="1" style="1081" min="15877" max="15877"/>
    <col width="8" customWidth="1" style="1081" min="15878" max="16132"/>
    <col width="13.125" customWidth="1" style="1081" min="16133" max="16133"/>
    <col width="8" customWidth="1" style="1081" min="16134" max="16384"/>
  </cols>
  <sheetData>
    <row r="3">
      <c r="C3" s="1082" t="n"/>
      <c r="D3" s="1082" t="n"/>
    </row>
    <row r="4">
      <c r="B4" s="1083" t="n"/>
      <c r="C4" s="739" t="n"/>
      <c r="D4" s="739" t="n"/>
      <c r="F4" s="1081" t="inlineStr">
        <is>
          <t>Indiana</t>
        </is>
      </c>
      <c r="G4" s="1081" t="inlineStr">
        <is>
          <t>Illinois</t>
        </is>
      </c>
      <c r="H4" s="1081" t="inlineStr">
        <is>
          <t>Kentucky</t>
        </is>
      </c>
      <c r="I4" s="1081" t="inlineStr">
        <is>
          <t>Michigan</t>
        </is>
      </c>
      <c r="J4" s="1081" t="inlineStr">
        <is>
          <t>Ohio</t>
        </is>
      </c>
      <c r="K4" s="1081" t="inlineStr">
        <is>
          <t>U.S.</t>
        </is>
      </c>
    </row>
    <row r="5">
      <c r="B5" s="1083" t="n"/>
      <c r="C5" s="739" t="n"/>
      <c r="D5" s="739" t="n"/>
      <c r="E5" s="1084" t="inlineStr">
        <is>
          <t>December 2025</t>
        </is>
      </c>
      <c r="F5" s="739" t="n">
        <v>0.035</v>
      </c>
      <c r="G5" s="739" t="n">
        <v>0.046</v>
      </c>
      <c r="H5" s="739" t="n">
        <v>0.045</v>
      </c>
      <c r="I5" s="739" t="n">
        <v>0.05</v>
      </c>
      <c r="J5" s="739" t="n">
        <v>0.045</v>
      </c>
      <c r="K5" s="739" t="n">
        <v>0.044</v>
      </c>
    </row>
    <row r="6">
      <c r="B6" s="1083" t="n"/>
      <c r="C6" s="739" t="n"/>
      <c r="D6" s="739" t="n"/>
      <c r="E6" s="1084" t="inlineStr">
        <is>
          <t>December 2024</t>
        </is>
      </c>
      <c r="F6" s="739" t="n">
        <v>0.045</v>
      </c>
      <c r="G6" s="739" t="n">
        <v>0.052</v>
      </c>
      <c r="H6" s="739" t="n">
        <v>0.052</v>
      </c>
      <c r="I6" s="739" t="n">
        <v>0.05</v>
      </c>
      <c r="J6" s="739" t="n">
        <v>0.044</v>
      </c>
      <c r="K6" s="739" t="n">
        <v>0.041</v>
      </c>
    </row>
    <row r="7">
      <c r="B7" s="1083" t="n"/>
      <c r="C7" s="739" t="n"/>
      <c r="D7" s="739" t="n"/>
      <c r="E7" s="1084" t="inlineStr">
        <is>
          <t>December 2023</t>
        </is>
      </c>
      <c r="F7" s="739" t="n">
        <v>0.035</v>
      </c>
      <c r="G7" s="739" t="n">
        <v>0.047</v>
      </c>
      <c r="H7" s="739" t="n">
        <v>0.043</v>
      </c>
      <c r="I7" s="739" t="n">
        <v>0.041</v>
      </c>
      <c r="J7" s="739" t="n">
        <v>0.036</v>
      </c>
      <c r="K7" s="739" t="n">
        <v>0.038</v>
      </c>
    </row>
    <row r="8">
      <c r="B8" s="1083" t="n"/>
      <c r="C8" s="739" t="n"/>
      <c r="D8" s="739" t="n"/>
    </row>
    <row r="9">
      <c r="B9" s="1083" t="n"/>
      <c r="C9" s="739" t="n"/>
      <c r="D9" s="739" t="n"/>
    </row>
    <row r="10">
      <c r="B10" s="1083" t="n"/>
      <c r="C10" s="739" t="n"/>
      <c r="D10" s="739" t="n"/>
    </row>
  </sheetData>
  <printOptions gridLinesSet="0"/>
  <pageMargins left="0.75" right="0.75" top="1" bottom="1" header="0.5" footer="0.5"/>
  <pageSetup orientation="portrait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3:G4"/>
  <sheetViews>
    <sheetView topLeftCell="B1" workbookViewId="0">
      <selection activeCell="P19" sqref="P19"/>
    </sheetView>
  </sheetViews>
  <sheetFormatPr baseColWidth="8" defaultRowHeight="11.65"/>
  <cols>
    <col width="9" customWidth="1" style="844" min="1" max="5"/>
    <col width="10.75" customWidth="1" style="844" min="6" max="6"/>
    <col width="9" customWidth="1" style="844" min="7" max="16384"/>
  </cols>
  <sheetData>
    <row r="3">
      <c r="B3" s="844" t="n">
        <v>2021</v>
      </c>
      <c r="C3" s="844" t="n">
        <v>2022</v>
      </c>
      <c r="D3" s="844" t="n">
        <v>2023</v>
      </c>
      <c r="E3" s="844" t="n">
        <v>2024</v>
      </c>
      <c r="F3" s="844" t="n">
        <v>2025</v>
      </c>
      <c r="G3" s="844" t="inlineStr">
        <is>
          <t>4Q 2025</t>
        </is>
      </c>
    </row>
    <row r="4">
      <c r="B4" s="353" t="n">
        <v>-10013</v>
      </c>
      <c r="C4" s="353" t="n">
        <v>-32376</v>
      </c>
      <c r="D4" s="353" t="n">
        <v>20383</v>
      </c>
      <c r="E4" s="353" t="n">
        <v>121033</v>
      </c>
      <c r="F4" s="353" t="n">
        <v>-51716</v>
      </c>
      <c r="G4" s="353" t="n">
        <v>1060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B3:M37"/>
  <sheetViews>
    <sheetView showGridLines="0" topLeftCell="A3" workbookViewId="0">
      <selection activeCell="E57" sqref="E57"/>
    </sheetView>
  </sheetViews>
  <sheetFormatPr baseColWidth="8" defaultRowHeight="13.9"/>
  <cols>
    <col width="8.5" customWidth="1" style="1085" min="1" max="1"/>
    <col width="15.125" customWidth="1" style="1085" min="2" max="2"/>
    <col width="12.625" customWidth="1" style="1085" min="3" max="3"/>
    <col width="13.75" customWidth="1" style="1085" min="4" max="4"/>
    <col width="15.625" customWidth="1" style="1085" min="5" max="5"/>
    <col width="9" customWidth="1" style="1085" min="6" max="257"/>
    <col width="15.125" customWidth="1" style="1085" min="258" max="258"/>
    <col width="12.625" customWidth="1" style="1085" min="259" max="259"/>
    <col width="13.75" customWidth="1" style="1085" min="260" max="260"/>
    <col width="15.625" customWidth="1" style="1085" min="261" max="261"/>
    <col width="9" customWidth="1" style="1085" min="262" max="513"/>
    <col width="15.125" customWidth="1" style="1085" min="514" max="514"/>
    <col width="12.625" customWidth="1" style="1085" min="515" max="515"/>
    <col width="13.75" customWidth="1" style="1085" min="516" max="516"/>
    <col width="15.625" customWidth="1" style="1085" min="517" max="517"/>
    <col width="9" customWidth="1" style="1085" min="518" max="769"/>
    <col width="15.125" customWidth="1" style="1085" min="770" max="770"/>
    <col width="12.625" customWidth="1" style="1085" min="771" max="771"/>
    <col width="13.75" customWidth="1" style="1085" min="772" max="772"/>
    <col width="15.625" customWidth="1" style="1085" min="773" max="773"/>
    <col width="9" customWidth="1" style="1085" min="774" max="1025"/>
    <col width="15.125" customWidth="1" style="1085" min="1026" max="1026"/>
    <col width="12.625" customWidth="1" style="1085" min="1027" max="1027"/>
    <col width="13.75" customWidth="1" style="1085" min="1028" max="1028"/>
    <col width="15.625" customWidth="1" style="1085" min="1029" max="1029"/>
    <col width="9" customWidth="1" style="1085" min="1030" max="1281"/>
    <col width="15.125" customWidth="1" style="1085" min="1282" max="1282"/>
    <col width="12.625" customWidth="1" style="1085" min="1283" max="1283"/>
    <col width="13.75" customWidth="1" style="1085" min="1284" max="1284"/>
    <col width="15.625" customWidth="1" style="1085" min="1285" max="1285"/>
    <col width="9" customWidth="1" style="1085" min="1286" max="1537"/>
    <col width="15.125" customWidth="1" style="1085" min="1538" max="1538"/>
    <col width="12.625" customWidth="1" style="1085" min="1539" max="1539"/>
    <col width="13.75" customWidth="1" style="1085" min="1540" max="1540"/>
    <col width="15.625" customWidth="1" style="1085" min="1541" max="1541"/>
    <col width="9" customWidth="1" style="1085" min="1542" max="1793"/>
    <col width="15.125" customWidth="1" style="1085" min="1794" max="1794"/>
    <col width="12.625" customWidth="1" style="1085" min="1795" max="1795"/>
    <col width="13.75" customWidth="1" style="1085" min="1796" max="1796"/>
    <col width="15.625" customWidth="1" style="1085" min="1797" max="1797"/>
    <col width="9" customWidth="1" style="1085" min="1798" max="2049"/>
    <col width="15.125" customWidth="1" style="1085" min="2050" max="2050"/>
    <col width="12.625" customWidth="1" style="1085" min="2051" max="2051"/>
    <col width="13.75" customWidth="1" style="1085" min="2052" max="2052"/>
    <col width="15.625" customWidth="1" style="1085" min="2053" max="2053"/>
    <col width="9" customWidth="1" style="1085" min="2054" max="2305"/>
    <col width="15.125" customWidth="1" style="1085" min="2306" max="2306"/>
    <col width="12.625" customWidth="1" style="1085" min="2307" max="2307"/>
    <col width="13.75" customWidth="1" style="1085" min="2308" max="2308"/>
    <col width="15.625" customWidth="1" style="1085" min="2309" max="2309"/>
    <col width="9" customWidth="1" style="1085" min="2310" max="2561"/>
    <col width="15.125" customWidth="1" style="1085" min="2562" max="2562"/>
    <col width="12.625" customWidth="1" style="1085" min="2563" max="2563"/>
    <col width="13.75" customWidth="1" style="1085" min="2564" max="2564"/>
    <col width="15.625" customWidth="1" style="1085" min="2565" max="2565"/>
    <col width="9" customWidth="1" style="1085" min="2566" max="2817"/>
    <col width="15.125" customWidth="1" style="1085" min="2818" max="2818"/>
    <col width="12.625" customWidth="1" style="1085" min="2819" max="2819"/>
    <col width="13.75" customWidth="1" style="1085" min="2820" max="2820"/>
    <col width="15.625" customWidth="1" style="1085" min="2821" max="2821"/>
    <col width="9" customWidth="1" style="1085" min="2822" max="3073"/>
    <col width="15.125" customWidth="1" style="1085" min="3074" max="3074"/>
    <col width="12.625" customWidth="1" style="1085" min="3075" max="3075"/>
    <col width="13.75" customWidth="1" style="1085" min="3076" max="3076"/>
    <col width="15.625" customWidth="1" style="1085" min="3077" max="3077"/>
    <col width="9" customWidth="1" style="1085" min="3078" max="3329"/>
    <col width="15.125" customWidth="1" style="1085" min="3330" max="3330"/>
    <col width="12.625" customWidth="1" style="1085" min="3331" max="3331"/>
    <col width="13.75" customWidth="1" style="1085" min="3332" max="3332"/>
    <col width="15.625" customWidth="1" style="1085" min="3333" max="3333"/>
    <col width="9" customWidth="1" style="1085" min="3334" max="3585"/>
    <col width="15.125" customWidth="1" style="1085" min="3586" max="3586"/>
    <col width="12.625" customWidth="1" style="1085" min="3587" max="3587"/>
    <col width="13.75" customWidth="1" style="1085" min="3588" max="3588"/>
    <col width="15.625" customWidth="1" style="1085" min="3589" max="3589"/>
    <col width="9" customWidth="1" style="1085" min="3590" max="3841"/>
    <col width="15.125" customWidth="1" style="1085" min="3842" max="3842"/>
    <col width="12.625" customWidth="1" style="1085" min="3843" max="3843"/>
    <col width="13.75" customWidth="1" style="1085" min="3844" max="3844"/>
    <col width="15.625" customWidth="1" style="1085" min="3845" max="3845"/>
    <col width="9" customWidth="1" style="1085" min="3846" max="4097"/>
    <col width="15.125" customWidth="1" style="1085" min="4098" max="4098"/>
    <col width="12.625" customWidth="1" style="1085" min="4099" max="4099"/>
    <col width="13.75" customWidth="1" style="1085" min="4100" max="4100"/>
    <col width="15.625" customWidth="1" style="1085" min="4101" max="4101"/>
    <col width="9" customWidth="1" style="1085" min="4102" max="4353"/>
    <col width="15.125" customWidth="1" style="1085" min="4354" max="4354"/>
    <col width="12.625" customWidth="1" style="1085" min="4355" max="4355"/>
    <col width="13.75" customWidth="1" style="1085" min="4356" max="4356"/>
    <col width="15.625" customWidth="1" style="1085" min="4357" max="4357"/>
    <col width="9" customWidth="1" style="1085" min="4358" max="4609"/>
    <col width="15.125" customWidth="1" style="1085" min="4610" max="4610"/>
    <col width="12.625" customWidth="1" style="1085" min="4611" max="4611"/>
    <col width="13.75" customWidth="1" style="1085" min="4612" max="4612"/>
    <col width="15.625" customWidth="1" style="1085" min="4613" max="4613"/>
    <col width="9" customWidth="1" style="1085" min="4614" max="4865"/>
    <col width="15.125" customWidth="1" style="1085" min="4866" max="4866"/>
    <col width="12.625" customWidth="1" style="1085" min="4867" max="4867"/>
    <col width="13.75" customWidth="1" style="1085" min="4868" max="4868"/>
    <col width="15.625" customWidth="1" style="1085" min="4869" max="4869"/>
    <col width="9" customWidth="1" style="1085" min="4870" max="5121"/>
    <col width="15.125" customWidth="1" style="1085" min="5122" max="5122"/>
    <col width="12.625" customWidth="1" style="1085" min="5123" max="5123"/>
    <col width="13.75" customWidth="1" style="1085" min="5124" max="5124"/>
    <col width="15.625" customWidth="1" style="1085" min="5125" max="5125"/>
    <col width="9" customWidth="1" style="1085" min="5126" max="5377"/>
    <col width="15.125" customWidth="1" style="1085" min="5378" max="5378"/>
    <col width="12.625" customWidth="1" style="1085" min="5379" max="5379"/>
    <col width="13.75" customWidth="1" style="1085" min="5380" max="5380"/>
    <col width="15.625" customWidth="1" style="1085" min="5381" max="5381"/>
    <col width="9" customWidth="1" style="1085" min="5382" max="5633"/>
    <col width="15.125" customWidth="1" style="1085" min="5634" max="5634"/>
    <col width="12.625" customWidth="1" style="1085" min="5635" max="5635"/>
    <col width="13.75" customWidth="1" style="1085" min="5636" max="5636"/>
    <col width="15.625" customWidth="1" style="1085" min="5637" max="5637"/>
    <col width="9" customWidth="1" style="1085" min="5638" max="5889"/>
    <col width="15.125" customWidth="1" style="1085" min="5890" max="5890"/>
    <col width="12.625" customWidth="1" style="1085" min="5891" max="5891"/>
    <col width="13.75" customWidth="1" style="1085" min="5892" max="5892"/>
    <col width="15.625" customWidth="1" style="1085" min="5893" max="5893"/>
    <col width="9" customWidth="1" style="1085" min="5894" max="6145"/>
    <col width="15.125" customWidth="1" style="1085" min="6146" max="6146"/>
    <col width="12.625" customWidth="1" style="1085" min="6147" max="6147"/>
    <col width="13.75" customWidth="1" style="1085" min="6148" max="6148"/>
    <col width="15.625" customWidth="1" style="1085" min="6149" max="6149"/>
    <col width="9" customWidth="1" style="1085" min="6150" max="6401"/>
    <col width="15.125" customWidth="1" style="1085" min="6402" max="6402"/>
    <col width="12.625" customWidth="1" style="1085" min="6403" max="6403"/>
    <col width="13.75" customWidth="1" style="1085" min="6404" max="6404"/>
    <col width="15.625" customWidth="1" style="1085" min="6405" max="6405"/>
    <col width="9" customWidth="1" style="1085" min="6406" max="6657"/>
    <col width="15.125" customWidth="1" style="1085" min="6658" max="6658"/>
    <col width="12.625" customWidth="1" style="1085" min="6659" max="6659"/>
    <col width="13.75" customWidth="1" style="1085" min="6660" max="6660"/>
    <col width="15.625" customWidth="1" style="1085" min="6661" max="6661"/>
    <col width="9" customWidth="1" style="1085" min="6662" max="6913"/>
    <col width="15.125" customWidth="1" style="1085" min="6914" max="6914"/>
    <col width="12.625" customWidth="1" style="1085" min="6915" max="6915"/>
    <col width="13.75" customWidth="1" style="1085" min="6916" max="6916"/>
    <col width="15.625" customWidth="1" style="1085" min="6917" max="6917"/>
    <col width="9" customWidth="1" style="1085" min="6918" max="7169"/>
    <col width="15.125" customWidth="1" style="1085" min="7170" max="7170"/>
    <col width="12.625" customWidth="1" style="1085" min="7171" max="7171"/>
    <col width="13.75" customWidth="1" style="1085" min="7172" max="7172"/>
    <col width="15.625" customWidth="1" style="1085" min="7173" max="7173"/>
    <col width="9" customWidth="1" style="1085" min="7174" max="7425"/>
    <col width="15.125" customWidth="1" style="1085" min="7426" max="7426"/>
    <col width="12.625" customWidth="1" style="1085" min="7427" max="7427"/>
    <col width="13.75" customWidth="1" style="1085" min="7428" max="7428"/>
    <col width="15.625" customWidth="1" style="1085" min="7429" max="7429"/>
    <col width="9" customWidth="1" style="1085" min="7430" max="7681"/>
    <col width="15.125" customWidth="1" style="1085" min="7682" max="7682"/>
    <col width="12.625" customWidth="1" style="1085" min="7683" max="7683"/>
    <col width="13.75" customWidth="1" style="1085" min="7684" max="7684"/>
    <col width="15.625" customWidth="1" style="1085" min="7685" max="7685"/>
    <col width="9" customWidth="1" style="1085" min="7686" max="7937"/>
    <col width="15.125" customWidth="1" style="1085" min="7938" max="7938"/>
    <col width="12.625" customWidth="1" style="1085" min="7939" max="7939"/>
    <col width="13.75" customWidth="1" style="1085" min="7940" max="7940"/>
    <col width="15.625" customWidth="1" style="1085" min="7941" max="7941"/>
    <col width="9" customWidth="1" style="1085" min="7942" max="8193"/>
    <col width="15.125" customWidth="1" style="1085" min="8194" max="8194"/>
    <col width="12.625" customWidth="1" style="1085" min="8195" max="8195"/>
    <col width="13.75" customWidth="1" style="1085" min="8196" max="8196"/>
    <col width="15.625" customWidth="1" style="1085" min="8197" max="8197"/>
    <col width="9" customWidth="1" style="1085" min="8198" max="8449"/>
    <col width="15.125" customWidth="1" style="1085" min="8450" max="8450"/>
    <col width="12.625" customWidth="1" style="1085" min="8451" max="8451"/>
    <col width="13.75" customWidth="1" style="1085" min="8452" max="8452"/>
    <col width="15.625" customWidth="1" style="1085" min="8453" max="8453"/>
    <col width="9" customWidth="1" style="1085" min="8454" max="8705"/>
    <col width="15.125" customWidth="1" style="1085" min="8706" max="8706"/>
    <col width="12.625" customWidth="1" style="1085" min="8707" max="8707"/>
    <col width="13.75" customWidth="1" style="1085" min="8708" max="8708"/>
    <col width="15.625" customWidth="1" style="1085" min="8709" max="8709"/>
    <col width="9" customWidth="1" style="1085" min="8710" max="8961"/>
    <col width="15.125" customWidth="1" style="1085" min="8962" max="8962"/>
    <col width="12.625" customWidth="1" style="1085" min="8963" max="8963"/>
    <col width="13.75" customWidth="1" style="1085" min="8964" max="8964"/>
    <col width="15.625" customWidth="1" style="1085" min="8965" max="8965"/>
    <col width="9" customWidth="1" style="1085" min="8966" max="9217"/>
    <col width="15.125" customWidth="1" style="1085" min="9218" max="9218"/>
    <col width="12.625" customWidth="1" style="1085" min="9219" max="9219"/>
    <col width="13.75" customWidth="1" style="1085" min="9220" max="9220"/>
    <col width="15.625" customWidth="1" style="1085" min="9221" max="9221"/>
    <col width="9" customWidth="1" style="1085" min="9222" max="9473"/>
    <col width="15.125" customWidth="1" style="1085" min="9474" max="9474"/>
    <col width="12.625" customWidth="1" style="1085" min="9475" max="9475"/>
    <col width="13.75" customWidth="1" style="1085" min="9476" max="9476"/>
    <col width="15.625" customWidth="1" style="1085" min="9477" max="9477"/>
    <col width="9" customWidth="1" style="1085" min="9478" max="9729"/>
    <col width="15.125" customWidth="1" style="1085" min="9730" max="9730"/>
    <col width="12.625" customWidth="1" style="1085" min="9731" max="9731"/>
    <col width="13.75" customWidth="1" style="1085" min="9732" max="9732"/>
    <col width="15.625" customWidth="1" style="1085" min="9733" max="9733"/>
    <col width="9" customWidth="1" style="1085" min="9734" max="9985"/>
    <col width="15.125" customWidth="1" style="1085" min="9986" max="9986"/>
    <col width="12.625" customWidth="1" style="1085" min="9987" max="9987"/>
    <col width="13.75" customWidth="1" style="1085" min="9988" max="9988"/>
    <col width="15.625" customWidth="1" style="1085" min="9989" max="9989"/>
    <col width="9" customWidth="1" style="1085" min="9990" max="10241"/>
    <col width="15.125" customWidth="1" style="1085" min="10242" max="10242"/>
    <col width="12.625" customWidth="1" style="1085" min="10243" max="10243"/>
    <col width="13.75" customWidth="1" style="1085" min="10244" max="10244"/>
    <col width="15.625" customWidth="1" style="1085" min="10245" max="10245"/>
    <col width="9" customWidth="1" style="1085" min="10246" max="10497"/>
    <col width="15.125" customWidth="1" style="1085" min="10498" max="10498"/>
    <col width="12.625" customWidth="1" style="1085" min="10499" max="10499"/>
    <col width="13.75" customWidth="1" style="1085" min="10500" max="10500"/>
    <col width="15.625" customWidth="1" style="1085" min="10501" max="10501"/>
    <col width="9" customWidth="1" style="1085" min="10502" max="10753"/>
    <col width="15.125" customWidth="1" style="1085" min="10754" max="10754"/>
    <col width="12.625" customWidth="1" style="1085" min="10755" max="10755"/>
    <col width="13.75" customWidth="1" style="1085" min="10756" max="10756"/>
    <col width="15.625" customWidth="1" style="1085" min="10757" max="10757"/>
    <col width="9" customWidth="1" style="1085" min="10758" max="11009"/>
    <col width="15.125" customWidth="1" style="1085" min="11010" max="11010"/>
    <col width="12.625" customWidth="1" style="1085" min="11011" max="11011"/>
    <col width="13.75" customWidth="1" style="1085" min="11012" max="11012"/>
    <col width="15.625" customWidth="1" style="1085" min="11013" max="11013"/>
    <col width="9" customWidth="1" style="1085" min="11014" max="11265"/>
    <col width="15.125" customWidth="1" style="1085" min="11266" max="11266"/>
    <col width="12.625" customWidth="1" style="1085" min="11267" max="11267"/>
    <col width="13.75" customWidth="1" style="1085" min="11268" max="11268"/>
    <col width="15.625" customWidth="1" style="1085" min="11269" max="11269"/>
    <col width="9" customWidth="1" style="1085" min="11270" max="11521"/>
    <col width="15.125" customWidth="1" style="1085" min="11522" max="11522"/>
    <col width="12.625" customWidth="1" style="1085" min="11523" max="11523"/>
    <col width="13.75" customWidth="1" style="1085" min="11524" max="11524"/>
    <col width="15.625" customWidth="1" style="1085" min="11525" max="11525"/>
    <col width="9" customWidth="1" style="1085" min="11526" max="11777"/>
    <col width="15.125" customWidth="1" style="1085" min="11778" max="11778"/>
    <col width="12.625" customWidth="1" style="1085" min="11779" max="11779"/>
    <col width="13.75" customWidth="1" style="1085" min="11780" max="11780"/>
    <col width="15.625" customWidth="1" style="1085" min="11781" max="11781"/>
    <col width="9" customWidth="1" style="1085" min="11782" max="12033"/>
    <col width="15.125" customWidth="1" style="1085" min="12034" max="12034"/>
    <col width="12.625" customWidth="1" style="1085" min="12035" max="12035"/>
    <col width="13.75" customWidth="1" style="1085" min="12036" max="12036"/>
    <col width="15.625" customWidth="1" style="1085" min="12037" max="12037"/>
    <col width="9" customWidth="1" style="1085" min="12038" max="12289"/>
    <col width="15.125" customWidth="1" style="1085" min="12290" max="12290"/>
    <col width="12.625" customWidth="1" style="1085" min="12291" max="12291"/>
    <col width="13.75" customWidth="1" style="1085" min="12292" max="12292"/>
    <col width="15.625" customWidth="1" style="1085" min="12293" max="12293"/>
    <col width="9" customWidth="1" style="1085" min="12294" max="12545"/>
    <col width="15.125" customWidth="1" style="1085" min="12546" max="12546"/>
    <col width="12.625" customWidth="1" style="1085" min="12547" max="12547"/>
    <col width="13.75" customWidth="1" style="1085" min="12548" max="12548"/>
    <col width="15.625" customWidth="1" style="1085" min="12549" max="12549"/>
    <col width="9" customWidth="1" style="1085" min="12550" max="12801"/>
    <col width="15.125" customWidth="1" style="1085" min="12802" max="12802"/>
    <col width="12.625" customWidth="1" style="1085" min="12803" max="12803"/>
    <col width="13.75" customWidth="1" style="1085" min="12804" max="12804"/>
    <col width="15.625" customWidth="1" style="1085" min="12805" max="12805"/>
    <col width="9" customWidth="1" style="1085" min="12806" max="13057"/>
    <col width="15.125" customWidth="1" style="1085" min="13058" max="13058"/>
    <col width="12.625" customWidth="1" style="1085" min="13059" max="13059"/>
    <col width="13.75" customWidth="1" style="1085" min="13060" max="13060"/>
    <col width="15.625" customWidth="1" style="1085" min="13061" max="13061"/>
    <col width="9" customWidth="1" style="1085" min="13062" max="13313"/>
    <col width="15.125" customWidth="1" style="1085" min="13314" max="13314"/>
    <col width="12.625" customWidth="1" style="1085" min="13315" max="13315"/>
    <col width="13.75" customWidth="1" style="1085" min="13316" max="13316"/>
    <col width="15.625" customWidth="1" style="1085" min="13317" max="13317"/>
    <col width="9" customWidth="1" style="1085" min="13318" max="13569"/>
    <col width="15.125" customWidth="1" style="1085" min="13570" max="13570"/>
    <col width="12.625" customWidth="1" style="1085" min="13571" max="13571"/>
    <col width="13.75" customWidth="1" style="1085" min="13572" max="13572"/>
    <col width="15.625" customWidth="1" style="1085" min="13573" max="13573"/>
    <col width="9" customWidth="1" style="1085" min="13574" max="13825"/>
    <col width="15.125" customWidth="1" style="1085" min="13826" max="13826"/>
    <col width="12.625" customWidth="1" style="1085" min="13827" max="13827"/>
    <col width="13.75" customWidth="1" style="1085" min="13828" max="13828"/>
    <col width="15.625" customWidth="1" style="1085" min="13829" max="13829"/>
    <col width="9" customWidth="1" style="1085" min="13830" max="14081"/>
    <col width="15.125" customWidth="1" style="1085" min="14082" max="14082"/>
    <col width="12.625" customWidth="1" style="1085" min="14083" max="14083"/>
    <col width="13.75" customWidth="1" style="1085" min="14084" max="14084"/>
    <col width="15.625" customWidth="1" style="1085" min="14085" max="14085"/>
    <col width="9" customWidth="1" style="1085" min="14086" max="14337"/>
    <col width="15.125" customWidth="1" style="1085" min="14338" max="14338"/>
    <col width="12.625" customWidth="1" style="1085" min="14339" max="14339"/>
    <col width="13.75" customWidth="1" style="1085" min="14340" max="14340"/>
    <col width="15.625" customWidth="1" style="1085" min="14341" max="14341"/>
    <col width="9" customWidth="1" style="1085" min="14342" max="14593"/>
    <col width="15.125" customWidth="1" style="1085" min="14594" max="14594"/>
    <col width="12.625" customWidth="1" style="1085" min="14595" max="14595"/>
    <col width="13.75" customWidth="1" style="1085" min="14596" max="14596"/>
    <col width="15.625" customWidth="1" style="1085" min="14597" max="14597"/>
    <col width="9" customWidth="1" style="1085" min="14598" max="14849"/>
    <col width="15.125" customWidth="1" style="1085" min="14850" max="14850"/>
    <col width="12.625" customWidth="1" style="1085" min="14851" max="14851"/>
    <col width="13.75" customWidth="1" style="1085" min="14852" max="14852"/>
    <col width="15.625" customWidth="1" style="1085" min="14853" max="14853"/>
    <col width="9" customWidth="1" style="1085" min="14854" max="15105"/>
    <col width="15.125" customWidth="1" style="1085" min="15106" max="15106"/>
    <col width="12.625" customWidth="1" style="1085" min="15107" max="15107"/>
    <col width="13.75" customWidth="1" style="1085" min="15108" max="15108"/>
    <col width="15.625" customWidth="1" style="1085" min="15109" max="15109"/>
    <col width="9" customWidth="1" style="1085" min="15110" max="15361"/>
    <col width="15.125" customWidth="1" style="1085" min="15362" max="15362"/>
    <col width="12.625" customWidth="1" style="1085" min="15363" max="15363"/>
    <col width="13.75" customWidth="1" style="1085" min="15364" max="15364"/>
    <col width="15.625" customWidth="1" style="1085" min="15365" max="15365"/>
    <col width="9" customWidth="1" style="1085" min="15366" max="15617"/>
    <col width="15.125" customWidth="1" style="1085" min="15618" max="15618"/>
    <col width="12.625" customWidth="1" style="1085" min="15619" max="15619"/>
    <col width="13.75" customWidth="1" style="1085" min="15620" max="15620"/>
    <col width="15.625" customWidth="1" style="1085" min="15621" max="15621"/>
    <col width="9" customWidth="1" style="1085" min="15622" max="15873"/>
    <col width="15.125" customWidth="1" style="1085" min="15874" max="15874"/>
    <col width="12.625" customWidth="1" style="1085" min="15875" max="15875"/>
    <col width="13.75" customWidth="1" style="1085" min="15876" max="15876"/>
    <col width="15.625" customWidth="1" style="1085" min="15877" max="15877"/>
    <col width="9" customWidth="1" style="1085" min="15878" max="16129"/>
    <col width="15.125" customWidth="1" style="1085" min="16130" max="16130"/>
    <col width="12.625" customWidth="1" style="1085" min="16131" max="16131"/>
    <col width="13.75" customWidth="1" style="1085" min="16132" max="16132"/>
    <col width="15.625" customWidth="1" style="1085" min="16133" max="16133"/>
    <col width="9" customWidth="1" style="1085" min="16134" max="16384"/>
  </cols>
  <sheetData>
    <row r="2" ht="14.25" customHeight="1" s="669" thickBot="1"/>
    <row r="3" ht="17.25" customHeight="1" s="669">
      <c r="B3" s="1086" t="inlineStr">
        <is>
          <t>Median Household Income</t>
        </is>
      </c>
      <c r="C3" s="1087" t="n"/>
      <c r="D3" s="1087" t="n"/>
      <c r="E3" s="1088" t="n"/>
    </row>
    <row r="4">
      <c r="B4" s="1089" t="inlineStr">
        <is>
          <t>Nation, Indiana, [MSA Name], and [County]</t>
        </is>
      </c>
      <c r="C4" s="1090" t="n"/>
      <c r="D4" s="1090" t="n"/>
      <c r="E4" s="1091" t="n"/>
    </row>
    <row r="5" ht="17.25" customHeight="1" s="669">
      <c r="B5" s="1092" t="n"/>
      <c r="C5" s="1093" t="inlineStr">
        <is>
          <t>Year - 2020</t>
        </is>
      </c>
      <c r="D5" s="1093" t="inlineStr">
        <is>
          <t>Year - 2024</t>
        </is>
      </c>
      <c r="E5" s="1094" t="inlineStr">
        <is>
          <t>% Change</t>
        </is>
      </c>
    </row>
    <row r="6">
      <c r="B6" s="1095" t="inlineStr">
        <is>
          <t>Nation</t>
        </is>
      </c>
      <c r="C6" s="1096" t="n">
        <v>64994</v>
      </c>
      <c r="D6" s="1096" t="n">
        <v>80734</v>
      </c>
      <c r="E6" s="368">
        <f>(D6/C6)-1</f>
        <v/>
      </c>
    </row>
    <row r="7">
      <c r="B7" s="1095" t="inlineStr">
        <is>
          <t>Indiana</t>
        </is>
      </c>
      <c r="C7" s="1096" t="n">
        <v>58235</v>
      </c>
      <c r="D7" s="1096" t="n">
        <v>71957</v>
      </c>
      <c r="E7" s="368">
        <f>(D7/C7)-1</f>
        <v/>
      </c>
    </row>
    <row r="8">
      <c r="B8" s="1097" t="inlineStr">
        <is>
          <t>[MSA Name]</t>
        </is>
      </c>
      <c r="C8" s="1096" t="n">
        <v>63545</v>
      </c>
      <c r="D8" s="1096" t="n">
        <v>79852</v>
      </c>
      <c r="E8" s="368">
        <f>(D8/C8)-1</f>
        <v/>
      </c>
    </row>
    <row r="9" ht="14.25" customHeight="1" s="669" thickBot="1">
      <c r="B9" s="1098" t="inlineStr">
        <is>
          <t>[County]</t>
        </is>
      </c>
      <c r="C9" s="1099" t="n">
        <v>51219</v>
      </c>
      <c r="D9" s="1099" t="n">
        <v>66346</v>
      </c>
      <c r="E9" s="372">
        <f>(D9/C9)-1</f>
        <v/>
      </c>
    </row>
    <row r="32" ht="14.25" customHeight="1" s="669">
      <c r="B32" s="375" t="n"/>
      <c r="C32" s="375" t="n">
        <v>2014</v>
      </c>
      <c r="D32" s="375" t="n"/>
      <c r="E32" s="375" t="n"/>
      <c r="F32" s="375" t="n"/>
      <c r="G32" s="375" t="n"/>
      <c r="H32" s="375" t="n"/>
      <c r="I32" s="375" t="n"/>
      <c r="J32" s="375" t="n"/>
      <c r="K32" s="375" t="n"/>
      <c r="L32" s="375" t="n"/>
      <c r="M32" s="375" t="n"/>
    </row>
    <row r="33" ht="14.25" customHeight="1" s="669">
      <c r="B33" s="373" t="inlineStr">
        <is>
          <t>Perry township</t>
        </is>
      </c>
      <c r="C33" s="1100" t="n">
        <v>44563</v>
      </c>
      <c r="D33" s="1100" t="n"/>
      <c r="E33" s="1100" t="n"/>
      <c r="F33" s="1100" t="n"/>
      <c r="G33" s="1100" t="n"/>
      <c r="H33" s="1100" t="n"/>
      <c r="I33" s="1100" t="n"/>
      <c r="J33" s="1100" t="n"/>
      <c r="K33" s="1100" t="n"/>
      <c r="L33" s="1100" t="n"/>
      <c r="M33" s="1100" t="n"/>
    </row>
    <row r="34" ht="14.25" customHeight="1" s="669">
      <c r="B34" s="373" t="inlineStr">
        <is>
          <t>[County]</t>
        </is>
      </c>
      <c r="C34" s="1100" t="n">
        <v>42378</v>
      </c>
      <c r="D34" s="1100" t="n"/>
      <c r="E34" s="1100" t="n"/>
      <c r="F34" s="1100" t="n"/>
      <c r="G34" s="1100" t="n"/>
      <c r="H34" s="1100" t="n"/>
      <c r="I34" s="1100" t="n"/>
      <c r="J34" s="1100" t="n"/>
      <c r="K34" s="1100" t="n"/>
      <c r="L34" s="1100" t="n"/>
      <c r="M34" s="1100" t="n"/>
    </row>
    <row r="35" ht="14.25" customHeight="1" s="669">
      <c r="B35" s="373" t="inlineStr">
        <is>
          <t>[MSA Name]</t>
        </is>
      </c>
      <c r="C35" s="1100" t="n">
        <v>52434</v>
      </c>
      <c r="D35" s="1100" t="n"/>
      <c r="E35" s="1100" t="n"/>
      <c r="F35" s="1100" t="n"/>
      <c r="G35" s="1100" t="n"/>
      <c r="H35" s="1100" t="n"/>
      <c r="I35" s="1100" t="n"/>
      <c r="J35" s="1100" t="n"/>
      <c r="K35" s="1100" t="n"/>
      <c r="L35" s="1100" t="n"/>
      <c r="M35" s="1100" t="n"/>
    </row>
    <row r="36" ht="14.25" customHeight="1" s="669">
      <c r="B36" s="373" t="inlineStr">
        <is>
          <t>Indiana</t>
        </is>
      </c>
      <c r="C36" s="1100" t="n">
        <v>48737</v>
      </c>
      <c r="D36" s="1100" t="n"/>
      <c r="E36" s="1100" t="n"/>
      <c r="F36" s="1100" t="n"/>
      <c r="G36" s="1100" t="n"/>
      <c r="H36" s="1100" t="n"/>
      <c r="I36" s="1100" t="n"/>
      <c r="J36" s="1100" t="n"/>
      <c r="K36" s="1100" t="n"/>
      <c r="L36" s="1100" t="n"/>
      <c r="M36" s="1100" t="n"/>
    </row>
    <row r="37" ht="14.25" customHeight="1" s="669">
      <c r="B37" s="373" t="inlineStr">
        <is>
          <t>United States</t>
        </is>
      </c>
      <c r="C37" s="1100" t="n">
        <v>53482</v>
      </c>
      <c r="D37" s="1100" t="n"/>
      <c r="E37" s="1100" t="n"/>
      <c r="F37" s="1100" t="n"/>
      <c r="G37" s="1100" t="n"/>
      <c r="H37" s="1100" t="n"/>
      <c r="I37" s="1100" t="n"/>
      <c r="J37" s="1100" t="n"/>
      <c r="K37" s="1100" t="n"/>
      <c r="L37" s="1100" t="n"/>
      <c r="M37" s="1100" t="n"/>
    </row>
  </sheetData>
  <printOptions gridLinesSet="0"/>
  <pageMargins left="0.75" right="0.75" top="1" bottom="1" header="0.5" footer="0.5"/>
  <pageSetup orientation="portrait" horizontalDpi="4294967292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6"/>
  <sheetViews>
    <sheetView zoomScale="85" zoomScaleNormal="85" workbookViewId="0">
      <selection activeCell="M21" sqref="M21"/>
    </sheetView>
  </sheetViews>
  <sheetFormatPr baseColWidth="8" defaultColWidth="12.25" defaultRowHeight="22.9" customHeight="1"/>
  <cols>
    <col width="14.9375" customWidth="1" style="373" min="1" max="1"/>
    <col width="12.25" customWidth="1" style="373" min="2" max="16384"/>
  </cols>
  <sheetData>
    <row r="1" ht="22.9" customHeight="1" s="669">
      <c r="A1" s="526" t="inlineStr">
        <is>
          <t>Median Household Income</t>
        </is>
      </c>
    </row>
    <row r="2" ht="22.9" customFormat="1" customHeight="1" s="375">
      <c r="B2" s="375" t="n">
        <v>2014</v>
      </c>
      <c r="C2" s="375" t="n">
        <v>2015</v>
      </c>
      <c r="D2" s="375" t="n">
        <v>2016</v>
      </c>
      <c r="E2" s="375" t="n">
        <v>2017</v>
      </c>
      <c r="F2" s="375" t="n">
        <v>2018</v>
      </c>
      <c r="G2" s="375" t="n">
        <v>2019</v>
      </c>
      <c r="H2" s="375" t="n">
        <v>2020</v>
      </c>
      <c r="I2" s="375" t="n">
        <v>2021</v>
      </c>
      <c r="J2" s="375" t="n">
        <v>2022</v>
      </c>
      <c r="K2" s="375" t="n">
        <v>2023</v>
      </c>
      <c r="L2" s="375" t="n">
        <v>2024</v>
      </c>
    </row>
    <row r="3" ht="22.9" customHeight="1" s="669">
      <c r="A3" s="373" t="inlineStr">
        <is>
          <t>Perry township</t>
        </is>
      </c>
      <c r="B3" s="1100" t="n">
        <v>44563</v>
      </c>
      <c r="C3" s="1100" t="n">
        <v>44302</v>
      </c>
      <c r="D3" s="1100" t="n">
        <v>45151</v>
      </c>
      <c r="E3" s="1100" t="n">
        <v>46151</v>
      </c>
      <c r="F3" s="1100" t="n">
        <v>48819</v>
      </c>
      <c r="G3" s="1100" t="n">
        <v>50754</v>
      </c>
      <c r="H3" s="1100" t="n">
        <v>53604</v>
      </c>
      <c r="I3" s="1100" t="n">
        <v>57176</v>
      </c>
      <c r="J3" s="1100" t="n">
        <v>61165</v>
      </c>
      <c r="K3" s="1100" t="n">
        <v>63866</v>
      </c>
      <c r="L3" s="1100" t="n">
        <v>66897</v>
      </c>
    </row>
    <row r="4" ht="22.9" customHeight="1" s="669">
      <c r="A4" s="373" t="inlineStr">
        <is>
          <t>[County]</t>
        </is>
      </c>
      <c r="B4" s="1100" t="n">
        <v>42378</v>
      </c>
      <c r="C4" s="1100" t="n">
        <v>42168</v>
      </c>
      <c r="D4" s="1100" t="n">
        <v>43369</v>
      </c>
      <c r="E4" s="1100" t="n">
        <v>44869</v>
      </c>
      <c r="F4" s="1100" t="n">
        <v>46692</v>
      </c>
      <c r="G4" s="1100" t="n">
        <v>48316</v>
      </c>
      <c r="H4" s="1100" t="n">
        <v>51219</v>
      </c>
      <c r="I4" s="1100" t="n">
        <v>54601</v>
      </c>
      <c r="J4" s="1100" t="n">
        <v>59504</v>
      </c>
      <c r="K4" s="1100" t="n">
        <v>63450</v>
      </c>
      <c r="L4" s="1100" t="n">
        <v>66346</v>
      </c>
    </row>
    <row r="5" ht="22.9" customHeight="1" s="669">
      <c r="A5" s="373" t="inlineStr">
        <is>
          <t>[MSA Name]</t>
        </is>
      </c>
      <c r="B5" s="1100" t="n"/>
      <c r="C5" s="1100" t="n"/>
      <c r="D5" s="1100" t="n"/>
      <c r="E5" s="1100" t="n"/>
      <c r="F5" s="1100" t="n"/>
      <c r="G5" s="1100" t="n"/>
      <c r="H5" s="1100" t="n"/>
      <c r="I5" s="1100" t="n"/>
      <c r="J5" s="1100" t="n"/>
      <c r="K5" s="1100" t="n"/>
      <c r="L5" s="1100" t="n"/>
    </row>
    <row r="6" ht="22.9" customHeight="1" s="669">
      <c r="A6" s="373" t="inlineStr">
        <is>
          <t>Indiana</t>
        </is>
      </c>
      <c r="B6" s="1100" t="n"/>
      <c r="C6" s="1100" t="n"/>
      <c r="D6" s="1100" t="n"/>
      <c r="E6" s="1100" t="n"/>
      <c r="F6" s="1100" t="n"/>
      <c r="G6" s="1100" t="n"/>
      <c r="H6" s="1100" t="n"/>
      <c r="I6" s="1100" t="n"/>
      <c r="J6" s="1100" t="n"/>
      <c r="K6" s="1100" t="n"/>
      <c r="L6" s="1100" t="n"/>
    </row>
    <row r="7" ht="22.9" customHeight="1" s="669">
      <c r="A7" s="373" t="inlineStr">
        <is>
          <t>United States</t>
        </is>
      </c>
      <c r="B7" s="1100" t="n"/>
      <c r="C7" s="1100" t="n"/>
      <c r="D7" s="1100" t="n"/>
      <c r="E7" s="1100" t="n"/>
      <c r="F7" s="1100" t="n"/>
      <c r="G7" s="1100" t="n"/>
      <c r="H7" s="1100" t="n"/>
      <c r="I7" s="1100" t="n"/>
      <c r="J7" s="1100" t="n"/>
      <c r="K7" s="1100" t="n"/>
      <c r="L7" s="1100" t="n"/>
    </row>
    <row r="8" ht="22.9" customHeight="1" s="669">
      <c r="B8" s="1100" t="n"/>
      <c r="C8" s="1100" t="n"/>
      <c r="D8" s="1100" t="n"/>
      <c r="E8" s="1100" t="n"/>
      <c r="F8" s="1100" t="n"/>
      <c r="G8" s="1100" t="n"/>
      <c r="H8" s="1100" t="n"/>
      <c r="I8" s="1100" t="n"/>
      <c r="J8" s="1100" t="n"/>
      <c r="K8" s="1100" t="n"/>
      <c r="L8" s="1100" t="n"/>
    </row>
    <row r="9" ht="22.9" customHeight="1" s="669">
      <c r="B9" s="1100" t="n"/>
      <c r="C9" s="1100" t="n"/>
      <c r="D9" s="1100" t="n"/>
      <c r="E9" s="1100" t="n"/>
      <c r="F9" s="1100" t="n"/>
      <c r="G9" s="1100" t="n"/>
      <c r="H9" s="1100" t="n"/>
      <c r="I9" s="1100" t="n"/>
      <c r="J9" s="1100" t="n"/>
      <c r="K9" s="1100" t="n"/>
      <c r="L9" s="1100" t="n"/>
    </row>
    <row r="10" ht="22.9" customHeight="1" s="669">
      <c r="B10" s="1100" t="n"/>
      <c r="C10" s="1100" t="n"/>
      <c r="D10" s="1100" t="n"/>
      <c r="E10" s="1100" t="n"/>
      <c r="F10" s="1100" t="n"/>
      <c r="G10" s="1100" t="n"/>
      <c r="H10" s="1100" t="n"/>
      <c r="I10" s="1100" t="n"/>
      <c r="J10" s="1100" t="n"/>
      <c r="K10" s="1100" t="n"/>
      <c r="L10" s="1100" t="n"/>
    </row>
    <row r="11" ht="22.9" customHeight="1" s="669">
      <c r="B11" s="1100" t="n"/>
      <c r="C11" s="1100" t="n"/>
      <c r="D11" s="1100" t="n"/>
      <c r="E11" s="1100" t="n"/>
      <c r="F11" s="1100" t="n"/>
      <c r="G11" s="1100" t="n"/>
      <c r="H11" s="1100" t="n"/>
      <c r="I11" s="1100" t="n"/>
      <c r="J11" s="1100" t="n"/>
      <c r="K11" s="1100" t="n"/>
      <c r="L11" s="1100" t="n"/>
    </row>
    <row r="12" ht="22.9" customHeight="1" s="669">
      <c r="B12" s="1100" t="n"/>
      <c r="C12" s="1100" t="n"/>
      <c r="D12" s="1100" t="n"/>
      <c r="E12" s="1100" t="n"/>
      <c r="F12" s="1100" t="n"/>
      <c r="G12" s="1100" t="n"/>
      <c r="H12" s="1100" t="n"/>
      <c r="I12" s="1100" t="n"/>
      <c r="J12" s="1100" t="n"/>
      <c r="K12" s="1100" t="n"/>
      <c r="L12" s="1100" t="n"/>
    </row>
    <row r="13" ht="22.9" customHeight="1" s="669">
      <c r="B13" s="1100" t="n"/>
      <c r="C13" s="1100" t="n"/>
      <c r="D13" s="1100" t="n"/>
      <c r="E13" s="1100" t="n"/>
      <c r="F13" s="1100" t="n"/>
      <c r="G13" s="1100" t="n"/>
      <c r="H13" s="1100" t="n"/>
      <c r="I13" s="1100" t="n"/>
      <c r="J13" s="1100" t="n"/>
      <c r="K13" s="1100" t="n"/>
      <c r="L13" s="1100" t="n"/>
    </row>
    <row r="14" ht="22.9" customHeight="1" s="669">
      <c r="B14" s="1100" t="n"/>
      <c r="C14" s="1100" t="n"/>
      <c r="D14" s="1100" t="n"/>
      <c r="E14" s="1100" t="n"/>
      <c r="F14" s="1100" t="n"/>
      <c r="G14" s="1100" t="n"/>
      <c r="H14" s="1100" t="n"/>
      <c r="I14" s="1100" t="n"/>
      <c r="J14" s="1100" t="n"/>
      <c r="K14" s="1100" t="n"/>
      <c r="L14" s="1100" t="n"/>
    </row>
    <row r="16" ht="22.9" customHeight="1" s="669">
      <c r="B16" s="1100" t="n"/>
      <c r="C16" s="1100" t="n"/>
      <c r="D16" s="1100" t="n"/>
      <c r="E16" s="1100" t="n"/>
      <c r="F16" s="1100" t="n"/>
      <c r="G16" s="1100" t="n"/>
      <c r="H16" s="1100" t="n"/>
      <c r="I16" s="1100" t="n"/>
      <c r="J16" s="1100" t="n"/>
      <c r="K16" s="1100" t="n"/>
      <c r="L16" s="1100" t="n"/>
    </row>
  </sheetData>
  <mergeCells count="1">
    <mergeCell ref="A1:L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Tom Silnes</dc:creator>
  <dcterms:created xmlns:dcterms="http://purl.org/dc/terms/" xmlns:xsi="http://www.w3.org/2001/XMLSchema-instance" xsi:type="dcterms:W3CDTF">2026-01-08T17:19:42Z</dcterms:created>
  <dcterms:modified xmlns:dcterms="http://purl.org/dc/terms/" xmlns:xsi="http://www.w3.org/2001/XMLSchema-instance" xsi:type="dcterms:W3CDTF">2026-07-10T18:29:55Z</dcterms:modified>
  <cp:lastModifiedBy>Tom Silnes</cp:lastModifiedBy>
</cp:coreProperties>
</file>